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yonh\Project\keiei_keikaku_python\"/>
    </mc:Choice>
  </mc:AlternateContent>
  <xr:revisionPtr revIDLastSave="0" documentId="13_ncr:1_{E598B42F-B314-4D5D-88B8-6B87F30EF9C3}" xr6:coauthVersionLast="47" xr6:coauthVersionMax="47" xr10:uidLastSave="{00000000-0000-0000-0000-000000000000}"/>
  <bookViews>
    <workbookView xWindow="-110" yWindow="-110" windowWidth="19420" windowHeight="11500" tabRatio="759" activeTab="2" xr2:uid="{00000000-000D-0000-FFFF-FFFF00000000}"/>
  </bookViews>
  <sheets>
    <sheet name="栽培スケジュール" sheetId="4" r:id="rId1"/>
    <sheet name="固定資産" sheetId="5" r:id="rId2"/>
    <sheet name="経営計画" sheetId="6" r:id="rId3"/>
  </sheets>
  <definedNames>
    <definedName name="_xlnm.Print_Area" localSheetId="2">経営計画!$A$1:$AY$75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5" i="6" l="1"/>
  <c r="AX35" i="6"/>
  <c r="AW35" i="6"/>
  <c r="AV35" i="6"/>
  <c r="AU35" i="6"/>
  <c r="AT35" i="6"/>
  <c r="AS35" i="6"/>
  <c r="AP35" i="6"/>
  <c r="AO35" i="6"/>
  <c r="AN35" i="6"/>
  <c r="AM35" i="6"/>
  <c r="AL35" i="6"/>
  <c r="AK35" i="6"/>
  <c r="AJ35" i="6"/>
  <c r="AI35" i="6"/>
  <c r="AH35" i="6"/>
  <c r="AF35" i="6"/>
  <c r="AE35" i="6"/>
  <c r="AD35" i="6"/>
  <c r="AC35" i="6"/>
  <c r="AB35" i="6"/>
  <c r="AA35" i="6"/>
  <c r="Y35" i="6"/>
  <c r="X35" i="6"/>
  <c r="W35" i="6"/>
  <c r="V35" i="6"/>
  <c r="U35" i="6"/>
  <c r="R35" i="6"/>
  <c r="Q35" i="6"/>
  <c r="P35" i="6"/>
  <c r="O35" i="6"/>
  <c r="N35" i="6"/>
  <c r="K35" i="6"/>
  <c r="J35" i="6"/>
  <c r="I35" i="6"/>
  <c r="H35" i="6"/>
  <c r="G35" i="6"/>
  <c r="F35" i="6"/>
  <c r="C35" i="6"/>
  <c r="AY34" i="6"/>
  <c r="AX34" i="6"/>
  <c r="AW34" i="6"/>
  <c r="AV34" i="6"/>
  <c r="AU34" i="6"/>
  <c r="AS34" i="6"/>
  <c r="AR34" i="6"/>
  <c r="AQ34" i="6"/>
  <c r="AP34" i="6"/>
  <c r="AM34" i="6"/>
  <c r="AL34" i="6"/>
  <c r="AK34" i="6"/>
  <c r="AJ34" i="6"/>
  <c r="AI34" i="6"/>
  <c r="AH34" i="6"/>
  <c r="AG34" i="6"/>
  <c r="AD34" i="6"/>
  <c r="AC34" i="6"/>
  <c r="AB34" i="6"/>
  <c r="AA34" i="6"/>
  <c r="Z34" i="6"/>
  <c r="Y34" i="6"/>
  <c r="X34" i="6"/>
  <c r="V34" i="6"/>
  <c r="U34" i="6"/>
  <c r="T34" i="6"/>
  <c r="S34" i="6"/>
  <c r="R34" i="6"/>
  <c r="P34" i="6"/>
  <c r="O34" i="6"/>
  <c r="N34" i="6"/>
  <c r="M34" i="6"/>
  <c r="L34" i="6"/>
  <c r="K34" i="6"/>
  <c r="J34" i="6"/>
  <c r="H34" i="6"/>
  <c r="G34" i="6"/>
  <c r="F34" i="6"/>
  <c r="E34" i="6"/>
  <c r="D34" i="6"/>
  <c r="C34" i="6"/>
  <c r="AY33" i="6"/>
  <c r="AX33" i="6"/>
  <c r="AW33" i="6"/>
  <c r="AV33" i="6"/>
  <c r="AU33" i="6"/>
  <c r="AT33" i="6"/>
  <c r="AS33" i="6"/>
  <c r="AP33" i="6"/>
  <c r="AO33" i="6"/>
  <c r="AN33" i="6"/>
  <c r="AM33" i="6"/>
  <c r="AL33" i="6"/>
  <c r="AI33" i="6"/>
  <c r="AH33" i="6"/>
  <c r="AG33" i="6"/>
  <c r="AF33" i="6"/>
  <c r="AE33" i="6"/>
  <c r="AD33" i="6"/>
  <c r="AC33" i="6"/>
  <c r="AB33" i="6"/>
  <c r="Y33" i="6"/>
  <c r="X33" i="6"/>
  <c r="W33" i="6"/>
  <c r="V33" i="6"/>
  <c r="U33" i="6"/>
  <c r="R33" i="6"/>
  <c r="Q33" i="6"/>
  <c r="P33" i="6"/>
  <c r="O33" i="6"/>
  <c r="N33" i="6"/>
  <c r="L33" i="6"/>
  <c r="K33" i="6"/>
  <c r="J33" i="6"/>
  <c r="I33" i="6"/>
  <c r="H33" i="6"/>
  <c r="F33" i="6"/>
  <c r="E33" i="6"/>
  <c r="D33" i="6"/>
  <c r="C33" i="6"/>
  <c r="AY32" i="6"/>
  <c r="AX32" i="6"/>
  <c r="AW32" i="6"/>
  <c r="AV32" i="6"/>
  <c r="AT32" i="6"/>
  <c r="AS32" i="6"/>
  <c r="AR32" i="6"/>
  <c r="AQ32" i="6"/>
  <c r="AP32" i="6"/>
  <c r="AN32" i="6"/>
  <c r="AM32" i="6"/>
  <c r="AL32" i="6"/>
  <c r="AK32" i="6"/>
  <c r="AJ32" i="6"/>
  <c r="AI32" i="6"/>
  <c r="AG32" i="6"/>
  <c r="AF32" i="6"/>
  <c r="AE32" i="6"/>
  <c r="AD32" i="6"/>
  <c r="AC32" i="6"/>
  <c r="AB32" i="6"/>
  <c r="AA32" i="6"/>
  <c r="Z32" i="6"/>
  <c r="X32" i="6"/>
  <c r="W32" i="6"/>
  <c r="V32" i="6"/>
  <c r="U32" i="6"/>
  <c r="T32" i="6"/>
  <c r="R32" i="6"/>
  <c r="Q32" i="6"/>
  <c r="P32" i="6"/>
  <c r="O32" i="6"/>
  <c r="N32" i="6"/>
  <c r="M32" i="6"/>
  <c r="L32" i="6"/>
  <c r="J32" i="6"/>
  <c r="I32" i="6"/>
  <c r="H32" i="6"/>
  <c r="G32" i="6"/>
  <c r="F32" i="6"/>
  <c r="D32" i="6"/>
  <c r="C32" i="6"/>
  <c r="AY30" i="6"/>
  <c r="AX30" i="6"/>
  <c r="AW30" i="6"/>
  <c r="AV30" i="6"/>
  <c r="AT30" i="6"/>
  <c r="AS30" i="6"/>
  <c r="AR30" i="6"/>
  <c r="AQ30" i="6"/>
  <c r="AP30" i="6"/>
  <c r="AO30" i="6"/>
  <c r="AN30" i="6"/>
  <c r="AM30" i="6"/>
  <c r="AL30" i="6"/>
  <c r="AK30" i="6"/>
  <c r="AH30" i="6"/>
  <c r="AG30" i="6"/>
  <c r="AF30" i="6"/>
  <c r="AE30" i="6"/>
  <c r="AD30" i="6"/>
  <c r="AA30" i="6"/>
  <c r="Z30" i="6"/>
  <c r="Y30" i="6"/>
  <c r="X30" i="6"/>
  <c r="V30" i="6"/>
  <c r="U30" i="6"/>
  <c r="T30" i="6"/>
  <c r="S30" i="6"/>
  <c r="R30" i="6"/>
  <c r="Q30" i="6"/>
  <c r="N30" i="6"/>
  <c r="M30" i="6"/>
  <c r="L30" i="6"/>
  <c r="K30" i="6"/>
  <c r="J30" i="6"/>
  <c r="I30" i="6"/>
  <c r="H30" i="6"/>
  <c r="F30" i="6"/>
  <c r="E30" i="6"/>
  <c r="D30" i="6"/>
  <c r="C30" i="6"/>
  <c r="AY29" i="6"/>
  <c r="AV29" i="6"/>
  <c r="AU29" i="6"/>
  <c r="AT29" i="6"/>
  <c r="AS29" i="6"/>
  <c r="AR29" i="6"/>
  <c r="AP29" i="6"/>
  <c r="AO29" i="6"/>
  <c r="AN29" i="6"/>
  <c r="AM29" i="6"/>
  <c r="AL29" i="6"/>
  <c r="AK29" i="6"/>
  <c r="AJ29" i="6"/>
  <c r="AH29" i="6"/>
  <c r="AG29" i="6"/>
  <c r="AF29" i="6"/>
  <c r="AE29" i="6"/>
  <c r="AD29" i="6"/>
  <c r="AC29" i="6"/>
  <c r="AB29" i="6"/>
  <c r="AA29" i="6"/>
  <c r="X29" i="6"/>
  <c r="W29" i="6"/>
  <c r="V29" i="6"/>
  <c r="U29" i="6"/>
  <c r="S29" i="6"/>
  <c r="R29" i="6"/>
  <c r="Q29" i="6"/>
  <c r="P29" i="6"/>
  <c r="O29" i="6"/>
  <c r="N29" i="6"/>
  <c r="M29" i="6"/>
  <c r="J29" i="6"/>
  <c r="I29" i="6"/>
  <c r="H29" i="6"/>
  <c r="G29" i="6"/>
  <c r="F29" i="6"/>
  <c r="E29" i="6"/>
  <c r="D29" i="6"/>
  <c r="C29" i="6"/>
  <c r="AY28" i="6"/>
  <c r="AX28" i="6"/>
  <c r="AW28" i="6"/>
  <c r="AV28" i="6"/>
  <c r="AT28" i="6"/>
  <c r="AS28" i="6"/>
  <c r="AR28" i="6"/>
  <c r="AQ28" i="6"/>
  <c r="AP28" i="6"/>
  <c r="AO28" i="6"/>
  <c r="AL28" i="6"/>
  <c r="AK28" i="6"/>
  <c r="AJ28" i="6"/>
  <c r="AI28" i="6"/>
  <c r="AH28" i="6"/>
  <c r="AG28" i="6"/>
  <c r="AC28" i="6"/>
  <c r="AB28" i="6"/>
  <c r="AA28" i="6"/>
  <c r="Z28" i="6"/>
  <c r="Y28" i="6"/>
  <c r="X28" i="6"/>
  <c r="V28" i="6"/>
  <c r="U28" i="6"/>
  <c r="T28" i="6"/>
  <c r="S28" i="6"/>
  <c r="R28" i="6"/>
  <c r="Q28" i="6"/>
  <c r="N28" i="6"/>
  <c r="M28" i="6"/>
  <c r="L28" i="6"/>
  <c r="K28" i="6"/>
  <c r="H28" i="6"/>
  <c r="G28" i="6"/>
  <c r="F28" i="6"/>
  <c r="E28" i="6"/>
  <c r="D28" i="6"/>
  <c r="C28" i="6"/>
  <c r="AY27" i="6"/>
  <c r="AV27" i="6"/>
  <c r="AU27" i="6"/>
  <c r="AT27" i="6"/>
  <c r="AS27" i="6"/>
  <c r="AQ27" i="6"/>
  <c r="AP27" i="6"/>
  <c r="AO27" i="6"/>
  <c r="AN27" i="6"/>
  <c r="AM27" i="6"/>
  <c r="AJ27" i="6"/>
  <c r="AI27" i="6"/>
  <c r="AH27" i="6"/>
  <c r="AG27" i="6"/>
  <c r="AF27" i="6"/>
  <c r="AE27" i="6"/>
  <c r="Z27" i="6"/>
  <c r="Y27" i="6"/>
  <c r="X27" i="6"/>
  <c r="W27" i="6"/>
  <c r="T27" i="6"/>
  <c r="S27" i="6"/>
  <c r="R27" i="6"/>
  <c r="Q27" i="6"/>
  <c r="P27" i="6"/>
  <c r="O27" i="6"/>
  <c r="L27" i="6"/>
  <c r="K27" i="6"/>
  <c r="J27" i="6"/>
  <c r="I27" i="6"/>
  <c r="G27" i="6"/>
  <c r="F27" i="6"/>
  <c r="E27" i="6"/>
  <c r="D27" i="6"/>
  <c r="C27" i="6"/>
  <c r="AY21" i="6"/>
  <c r="AX21" i="6"/>
  <c r="AW21" i="6"/>
  <c r="AV21" i="6"/>
  <c r="AU21" i="6"/>
  <c r="AP21" i="6"/>
  <c r="AO21" i="6"/>
  <c r="AN21" i="6"/>
  <c r="AM21" i="6"/>
  <c r="AL21" i="6"/>
  <c r="AK21" i="6"/>
  <c r="AF21" i="6"/>
  <c r="AE21" i="6"/>
  <c r="AD21" i="6"/>
  <c r="Y21" i="6"/>
  <c r="X21" i="6"/>
  <c r="W21" i="6"/>
  <c r="R21" i="6"/>
  <c r="Q21" i="6"/>
  <c r="K21" i="6"/>
  <c r="J21" i="6"/>
  <c r="I21" i="6"/>
  <c r="H21" i="6"/>
  <c r="C21" i="6"/>
  <c r="AY20" i="6"/>
  <c r="AS20" i="6"/>
  <c r="AR20" i="6"/>
  <c r="AM20" i="6"/>
  <c r="AL20" i="6"/>
  <c r="AK20" i="6"/>
  <c r="AJ20" i="6"/>
  <c r="AI20" i="6"/>
  <c r="AD20" i="6"/>
  <c r="AC20" i="6"/>
  <c r="AB20" i="6"/>
  <c r="AA20" i="6"/>
  <c r="V20" i="6"/>
  <c r="U20" i="6"/>
  <c r="P20" i="6"/>
  <c r="O20" i="6"/>
  <c r="N20" i="6"/>
  <c r="M20" i="6"/>
  <c r="H20" i="6"/>
  <c r="G20" i="6"/>
  <c r="F20" i="6"/>
  <c r="E20" i="6"/>
  <c r="D20" i="6"/>
  <c r="C20" i="6"/>
  <c r="AY19" i="6"/>
  <c r="AX19" i="6"/>
  <c r="AW19" i="6"/>
  <c r="AV19" i="6"/>
  <c r="AU19" i="6"/>
  <c r="AP19" i="6"/>
  <c r="AO19" i="6"/>
  <c r="AI19" i="6"/>
  <c r="AH19" i="6"/>
  <c r="AG19" i="6"/>
  <c r="Y19" i="6"/>
  <c r="X19" i="6"/>
  <c r="W19" i="6"/>
  <c r="R19" i="6"/>
  <c r="Q19" i="6"/>
  <c r="L19" i="6"/>
  <c r="K19" i="6"/>
  <c r="F19" i="6"/>
  <c r="E19" i="6"/>
  <c r="D19" i="6"/>
  <c r="C19" i="6"/>
  <c r="AY18" i="6"/>
  <c r="AT18" i="6"/>
  <c r="AS18" i="6"/>
  <c r="AN18" i="6"/>
  <c r="AM18" i="6"/>
  <c r="AG18" i="6"/>
  <c r="AF18" i="6"/>
  <c r="AE18" i="6"/>
  <c r="Z18" i="6"/>
  <c r="X18" i="6"/>
  <c r="W18" i="6"/>
  <c r="R18" i="6"/>
  <c r="Q18" i="6"/>
  <c r="P18" i="6"/>
  <c r="O18" i="6"/>
  <c r="J18" i="6"/>
  <c r="I18" i="6"/>
  <c r="D18" i="6"/>
  <c r="C18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AA21" i="6"/>
  <c r="AB18" i="6"/>
  <c r="Y18" i="6"/>
  <c r="O31" i="6" l="1"/>
  <c r="P31" i="6"/>
  <c r="Q26" i="6"/>
  <c r="R26" i="6"/>
  <c r="T21" i="6"/>
  <c r="AR19" i="6"/>
  <c r="AQ19" i="6"/>
  <c r="AG26" i="6"/>
  <c r="AO26" i="6"/>
  <c r="AS31" i="6"/>
  <c r="AP26" i="6"/>
  <c r="AI31" i="6"/>
  <c r="AB31" i="6"/>
  <c r="AV31" i="6"/>
  <c r="AY22" i="6"/>
  <c r="D26" i="6"/>
  <c r="C22" i="6"/>
  <c r="E26" i="6"/>
  <c r="X26" i="6"/>
  <c r="AD31" i="6"/>
  <c r="AW31" i="6"/>
  <c r="C26" i="6"/>
  <c r="AE20" i="6"/>
  <c r="AF20" i="6"/>
  <c r="AQ21" i="6"/>
  <c r="AB30" i="6"/>
  <c r="AX31" i="6"/>
  <c r="N19" i="6"/>
  <c r="S21" i="6"/>
  <c r="AR21" i="6"/>
  <c r="AT26" i="6"/>
  <c r="AY31" i="6"/>
  <c r="R31" i="6"/>
  <c r="AH26" i="6"/>
  <c r="H31" i="6"/>
  <c r="X31" i="6"/>
  <c r="U31" i="6"/>
  <c r="AV26" i="6"/>
  <c r="AY26" i="6"/>
  <c r="AM31" i="6"/>
  <c r="AP31" i="6"/>
  <c r="C31" i="6"/>
  <c r="V31" i="6"/>
  <c r="AC18" i="6"/>
  <c r="AD18" i="6"/>
  <c r="F31" i="6"/>
  <c r="Z21" i="6"/>
  <c r="S19" i="6"/>
  <c r="J31" i="6"/>
  <c r="AA33" i="6"/>
  <c r="AA31" i="6" s="1"/>
  <c r="Z33" i="6"/>
  <c r="AC31" i="6"/>
  <c r="S26" i="6"/>
  <c r="N31" i="6"/>
  <c r="AS26" i="6"/>
  <c r="AL31" i="6"/>
  <c r="F26" i="6"/>
  <c r="AA18" i="6"/>
  <c r="T19" i="6"/>
  <c r="AY36" i="6" l="1"/>
  <c r="AP36" i="6"/>
  <c r="M19" i="6"/>
  <c r="R36" i="6"/>
  <c r="C36" i="6"/>
  <c r="AD27" i="6"/>
  <c r="AV36" i="6"/>
  <c r="AS36" i="6"/>
  <c r="AC19" i="6"/>
  <c r="Z35" i="6"/>
  <c r="Z31" i="6" s="1"/>
  <c r="X36" i="6"/>
  <c r="AG20" i="6"/>
  <c r="U19" i="6"/>
  <c r="AU18" i="6"/>
  <c r="V19" i="6"/>
  <c r="AS19" i="6"/>
  <c r="AS21" i="6"/>
  <c r="AT19" i="6"/>
  <c r="AT21" i="6"/>
  <c r="U21" i="6"/>
  <c r="E32" i="6"/>
  <c r="F36" i="6"/>
  <c r="AH20" i="6"/>
  <c r="AC30" i="6"/>
  <c r="V21" i="6"/>
  <c r="AC21" i="6"/>
  <c r="AL27" i="6"/>
  <c r="AL26" i="6" s="1"/>
  <c r="AL36" i="6" s="1"/>
  <c r="AX29" i="6"/>
  <c r="AK27" i="6"/>
  <c r="AK26" i="6" s="1"/>
  <c r="AW29" i="6"/>
  <c r="P28" i="6"/>
  <c r="O28" i="6"/>
  <c r="AU32" i="6"/>
  <c r="AU31" i="6" s="1"/>
  <c r="W34" i="6"/>
  <c r="W31" i="6" s="1"/>
  <c r="K32" i="6"/>
  <c r="K31" i="6" s="1"/>
  <c r="X20" i="6"/>
  <c r="X22" i="6" s="1"/>
  <c r="L18" i="6"/>
  <c r="AV18" i="6"/>
  <c r="P30" i="6"/>
  <c r="AN28" i="6"/>
  <c r="AN26" i="6" s="1"/>
  <c r="AM28" i="6"/>
  <c r="AM26" i="6" s="1"/>
  <c r="O30" i="6"/>
  <c r="Y32" i="6"/>
  <c r="Y31" i="6" s="1"/>
  <c r="G30" i="6"/>
  <c r="G26" i="6" s="1"/>
  <c r="AQ29" i="6"/>
  <c r="AQ26" i="6" s="1"/>
  <c r="AI30" i="6"/>
  <c r="L29" i="6"/>
  <c r="L26" i="6" s="1"/>
  <c r="K29" i="6"/>
  <c r="K26" i="6" s="1"/>
  <c r="AJ30" i="6"/>
  <c r="AJ26" i="6" s="1"/>
  <c r="F43" i="6"/>
  <c r="F50" i="6" s="1"/>
  <c r="F66" i="6"/>
  <c r="F73" i="6" s="1"/>
  <c r="E43" i="6"/>
  <c r="E50" i="6" s="1"/>
  <c r="E66" i="6"/>
  <c r="E73" i="6" s="1"/>
  <c r="D43" i="6"/>
  <c r="D50" i="6" s="1"/>
  <c r="D66" i="6"/>
  <c r="D73" i="6" s="1"/>
  <c r="C43" i="6"/>
  <c r="C50" i="6" s="1"/>
  <c r="C66" i="6"/>
  <c r="C73" i="6" s="1"/>
  <c r="H27" i="6"/>
  <c r="H26" i="6" s="1"/>
  <c r="H36" i="6" s="1"/>
  <c r="T29" i="6"/>
  <c r="T26" i="6" s="1"/>
  <c r="AR27" i="6"/>
  <c r="AR26" i="6" s="1"/>
  <c r="M33" i="6"/>
  <c r="V27" i="6"/>
  <c r="V26" i="6" s="1"/>
  <c r="V36" i="6" s="1"/>
  <c r="J28" i="6"/>
  <c r="J26" i="6" s="1"/>
  <c r="J36" i="6" s="1"/>
  <c r="I28" i="6"/>
  <c r="I26" i="6" s="1"/>
  <c r="U27" i="6"/>
  <c r="U26" i="6" s="1"/>
  <c r="U36" i="6" s="1"/>
  <c r="AF28" i="6"/>
  <c r="AF26" i="6" s="1"/>
  <c r="AE28" i="6"/>
  <c r="AE26" i="6" s="1"/>
  <c r="AD28" i="6"/>
  <c r="AA27" i="6" l="1"/>
  <c r="AA26" i="6" s="1"/>
  <c r="AA36" i="6" s="1"/>
  <c r="AB27" i="6"/>
  <c r="AB26" i="6" s="1"/>
  <c r="AB36" i="6" s="1"/>
  <c r="AD19" i="6"/>
  <c r="AD22" i="6" s="1"/>
  <c r="O19" i="6"/>
  <c r="Z19" i="6"/>
  <c r="O21" i="6"/>
  <c r="AA19" i="6"/>
  <c r="AA22" i="6" s="1"/>
  <c r="K36" i="6"/>
  <c r="G21" i="6"/>
  <c r="AC27" i="6"/>
  <c r="AC26" i="6" s="1"/>
  <c r="AC36" i="6" s="1"/>
  <c r="H18" i="6"/>
  <c r="AB19" i="6"/>
  <c r="AX27" i="6"/>
  <c r="AX26" i="6" s="1"/>
  <c r="AX36" i="6" s="1"/>
  <c r="M27" i="6"/>
  <c r="M26" i="6" s="1"/>
  <c r="AW27" i="6"/>
  <c r="AW26" i="6" s="1"/>
  <c r="AW36" i="6" s="1"/>
  <c r="N27" i="6"/>
  <c r="N26" i="6" s="1"/>
  <c r="N36" i="6" s="1"/>
  <c r="Z29" i="6"/>
  <c r="Z26" i="6" s="1"/>
  <c r="Z36" i="6" s="1"/>
  <c r="Y29" i="6"/>
  <c r="Y26" i="6" s="1"/>
  <c r="Y36" i="6" s="1"/>
  <c r="K18" i="6"/>
  <c r="AO32" i="6"/>
  <c r="Q34" i="6"/>
  <c r="Q31" i="6" s="1"/>
  <c r="Q36" i="6" s="1"/>
  <c r="AB21" i="6"/>
  <c r="AF19" i="6"/>
  <c r="AF22" i="6" s="1"/>
  <c r="W20" i="6"/>
  <c r="W22" i="6" s="1"/>
  <c r="AS22" i="6"/>
  <c r="O26" i="6"/>
  <c r="O36" i="6" s="1"/>
  <c r="U18" i="6"/>
  <c r="U22" i="6" s="1"/>
  <c r="M18" i="6"/>
  <c r="P26" i="6"/>
  <c r="P36" i="6" s="1"/>
  <c r="AD26" i="6"/>
  <c r="AD36" i="6" s="1"/>
  <c r="M35" i="6"/>
  <c r="M31" i="6" s="1"/>
  <c r="L35" i="6"/>
  <c r="L31" i="6" s="1"/>
  <c r="L36" i="6" s="1"/>
  <c r="AK33" i="6"/>
  <c r="AK31" i="6" s="1"/>
  <c r="AK36" i="6" s="1"/>
  <c r="AJ33" i="6"/>
  <c r="AJ31" i="6" s="1"/>
  <c r="AJ36" i="6" s="1"/>
  <c r="AP20" i="6"/>
  <c r="F21" i="6"/>
  <c r="S32" i="6"/>
  <c r="G33" i="6"/>
  <c r="G31" i="6" s="1"/>
  <c r="G36" i="6" s="1"/>
  <c r="AT20" i="6"/>
  <c r="AT22" i="6" s="1"/>
  <c r="AH18" i="6"/>
  <c r="AM36" i="6"/>
  <c r="AP18" i="6"/>
  <c r="AQ18" i="6"/>
  <c r="S20" i="6"/>
  <c r="F18" i="6"/>
  <c r="R20" i="6"/>
  <c r="R22" i="6" s="1"/>
  <c r="G18" i="6"/>
  <c r="M21" i="6"/>
  <c r="L21" i="6"/>
  <c r="AJ19" i="6"/>
  <c r="AK19" i="6"/>
  <c r="AU30" i="6"/>
  <c r="AU28" i="6"/>
  <c r="W28" i="6"/>
  <c r="AI29" i="6"/>
  <c r="AI26" i="6" s="1"/>
  <c r="AI36" i="6" s="1"/>
  <c r="W30" i="6"/>
  <c r="AH21" i="6"/>
  <c r="J20" i="6"/>
  <c r="AH32" i="6"/>
  <c r="AH31" i="6" s="1"/>
  <c r="AH36" i="6" s="1"/>
  <c r="AT34" i="6"/>
  <c r="AT31" i="6" s="1"/>
  <c r="AT36" i="6" s="1"/>
  <c r="AG21" i="6"/>
  <c r="AG22" i="6" s="1"/>
  <c r="I20" i="6"/>
  <c r="AO34" i="6"/>
  <c r="AN34" i="6"/>
  <c r="AN31" i="6" s="1"/>
  <c r="AN36" i="6" s="1"/>
  <c r="E35" i="6"/>
  <c r="E31" i="6" s="1"/>
  <c r="E36" i="6" s="1"/>
  <c r="D35" i="6"/>
  <c r="D31" i="6" s="1"/>
  <c r="AO20" i="6"/>
  <c r="D21" i="6"/>
  <c r="D22" i="6" s="1"/>
  <c r="E21" i="6"/>
  <c r="AN20" i="6"/>
  <c r="H19" i="6"/>
  <c r="T18" i="6"/>
  <c r="G19" i="6"/>
  <c r="S18" i="6"/>
  <c r="AO18" i="6"/>
  <c r="E18" i="6"/>
  <c r="Q20" i="6"/>
  <c r="Q22" i="6" s="1"/>
  <c r="AV20" i="6"/>
  <c r="AV22" i="6" s="1"/>
  <c r="AI18" i="6"/>
  <c r="AU20" i="6"/>
  <c r="AU22" i="6" s="1"/>
  <c r="AJ18" i="6"/>
  <c r="I34" i="6"/>
  <c r="I31" i="6" s="1"/>
  <c r="I36" i="6" s="1"/>
  <c r="AG35" i="6"/>
  <c r="AG31" i="6" s="1"/>
  <c r="AG36" i="6" s="1"/>
  <c r="AC22" i="6"/>
  <c r="AL19" i="6"/>
  <c r="N21" i="6"/>
  <c r="AE19" i="6" l="1"/>
  <c r="AE22" i="6" s="1"/>
  <c r="P19" i="6"/>
  <c r="AM19" i="6"/>
  <c r="AM22" i="6" s="1"/>
  <c r="P21" i="6"/>
  <c r="AO31" i="6"/>
  <c r="AO36" i="6" s="1"/>
  <c r="AN19" i="6"/>
  <c r="AN22" i="6" s="1"/>
  <c r="M36" i="6"/>
  <c r="AQ20" i="6"/>
  <c r="AQ22" i="6" s="1"/>
  <c r="AX18" i="6"/>
  <c r="C64" i="6"/>
  <c r="C71" i="6" s="1"/>
  <c r="AW18" i="6"/>
  <c r="Y20" i="6"/>
  <c r="Y22" i="6" s="1"/>
  <c r="V18" i="6"/>
  <c r="V22" i="6" s="1"/>
  <c r="AR18" i="6"/>
  <c r="AR22" i="6" s="1"/>
  <c r="AB22" i="6"/>
  <c r="T20" i="6"/>
  <c r="T22" i="6" s="1"/>
  <c r="AO22" i="6"/>
  <c r="M22" i="6"/>
  <c r="AU26" i="6"/>
  <c r="AU36" i="6" s="1"/>
  <c r="I19" i="6"/>
  <c r="I22" i="6" s="1"/>
  <c r="C41" i="6"/>
  <c r="C48" i="6" s="1"/>
  <c r="J19" i="6"/>
  <c r="J22" i="6" s="1"/>
  <c r="Z20" i="6"/>
  <c r="Z22" i="6" s="1"/>
  <c r="N18" i="6"/>
  <c r="N22" i="6" s="1"/>
  <c r="W26" i="6"/>
  <c r="W36" i="6" s="1"/>
  <c r="E22" i="6"/>
  <c r="F22" i="6"/>
  <c r="AL18" i="6"/>
  <c r="AL22" i="6" s="1"/>
  <c r="AK18" i="6"/>
  <c r="AK22" i="6" s="1"/>
  <c r="AX20" i="6"/>
  <c r="AW20" i="6"/>
  <c r="AI21" i="6"/>
  <c r="AI22" i="6" s="1"/>
  <c r="K20" i="6"/>
  <c r="K22" i="6" s="1"/>
  <c r="AJ21" i="6"/>
  <c r="AJ22" i="6" s="1"/>
  <c r="L20" i="6"/>
  <c r="L22" i="6" s="1"/>
  <c r="AP22" i="6"/>
  <c r="F64" i="6"/>
  <c r="E64" i="6"/>
  <c r="H22" i="6"/>
  <c r="G22" i="6"/>
  <c r="O22" i="6"/>
  <c r="AF34" i="6"/>
  <c r="AF31" i="6" s="1"/>
  <c r="AF36" i="6" s="1"/>
  <c r="AE34" i="6"/>
  <c r="AE31" i="6" s="1"/>
  <c r="AR33" i="6"/>
  <c r="AQ33" i="6"/>
  <c r="T33" i="6"/>
  <c r="T35" i="6"/>
  <c r="S33" i="6"/>
  <c r="S35" i="6"/>
  <c r="AR35" i="6"/>
  <c r="AQ35" i="6"/>
  <c r="S22" i="6"/>
  <c r="C65" i="6"/>
  <c r="C72" i="6" s="1"/>
  <c r="C80" i="6" s="1"/>
  <c r="D36" i="6"/>
  <c r="C42" i="6"/>
  <c r="C49" i="6" s="1"/>
  <c r="C57" i="6" s="1"/>
  <c r="E41" i="6"/>
  <c r="AH22" i="6"/>
  <c r="P22" i="6" l="1"/>
  <c r="F41" i="6"/>
  <c r="F48" i="6" s="1"/>
  <c r="AW22" i="6"/>
  <c r="AX22" i="6"/>
  <c r="AR31" i="6"/>
  <c r="AR36" i="6" s="1"/>
  <c r="D41" i="6"/>
  <c r="D48" i="6" s="1"/>
  <c r="D64" i="6"/>
  <c r="D71" i="6" s="1"/>
  <c r="C67" i="6"/>
  <c r="AQ31" i="6"/>
  <c r="AQ36" i="6" s="1"/>
  <c r="S31" i="6"/>
  <c r="S36" i="6" s="1"/>
  <c r="E48" i="6"/>
  <c r="E42" i="6"/>
  <c r="E49" i="6" s="1"/>
  <c r="E57" i="6" s="1"/>
  <c r="E65" i="6"/>
  <c r="E72" i="6" s="1"/>
  <c r="E80" i="6" s="1"/>
  <c r="AE36" i="6"/>
  <c r="C44" i="6"/>
  <c r="C56" i="6"/>
  <c r="C58" i="6" s="1"/>
  <c r="C51" i="6"/>
  <c r="E71" i="6"/>
  <c r="F71" i="6"/>
  <c r="C79" i="6"/>
  <c r="C81" i="6" s="1"/>
  <c r="C74" i="6"/>
  <c r="T31" i="6"/>
  <c r="T36" i="6" s="1"/>
  <c r="F65" i="6" l="1"/>
  <c r="F72" i="6" s="1"/>
  <c r="F80" i="6" s="1"/>
  <c r="F42" i="6"/>
  <c r="F49" i="6" s="1"/>
  <c r="F57" i="6" s="1"/>
  <c r="F56" i="6"/>
  <c r="F79" i="6"/>
  <c r="E44" i="6"/>
  <c r="E56" i="6"/>
  <c r="E58" i="6" s="1"/>
  <c r="E51" i="6"/>
  <c r="D56" i="6"/>
  <c r="E79" i="6"/>
  <c r="E81" i="6" s="1"/>
  <c r="E74" i="6"/>
  <c r="D79" i="6"/>
  <c r="E67" i="6"/>
  <c r="D42" i="6"/>
  <c r="D65" i="6"/>
  <c r="F74" i="6" l="1"/>
  <c r="F81" i="6"/>
  <c r="F67" i="6"/>
  <c r="F44" i="6"/>
  <c r="F51" i="6"/>
  <c r="F58" i="6"/>
  <c r="D72" i="6"/>
  <c r="D67" i="6"/>
  <c r="D49" i="6"/>
  <c r="D44" i="6"/>
  <c r="J67" i="6" l="1"/>
  <c r="J44" i="6"/>
  <c r="D57" i="6"/>
  <c r="D58" i="6" s="1"/>
  <c r="C55" i="6" s="1"/>
  <c r="D51" i="6"/>
  <c r="J51" i="6" s="1"/>
  <c r="D80" i="6"/>
  <c r="D81" i="6" s="1"/>
  <c r="C78" i="6" s="1"/>
  <c r="D74" i="6"/>
  <c r="J74" i="6" s="1"/>
  <c r="J78" i="6" l="1"/>
  <c r="C82" i="6"/>
  <c r="J55" i="6"/>
  <c r="C59" i="6"/>
  <c r="D59" i="6" l="1"/>
  <c r="D55" i="6"/>
  <c r="D82" i="6"/>
  <c r="D78" i="6"/>
  <c r="E82" i="6" l="1"/>
  <c r="E78" i="6"/>
  <c r="E59" i="6"/>
  <c r="E55" i="6"/>
  <c r="F55" i="6" l="1"/>
  <c r="F59" i="6"/>
  <c r="F82" i="6"/>
  <c r="F78" i="6"/>
</calcChain>
</file>

<file path=xl/sharedStrings.xml><?xml version="1.0" encoding="utf-8"?>
<sst xmlns="http://schemas.openxmlformats.org/spreadsheetml/2006/main" count="718" uniqueCount="117">
  <si>
    <t>#作付</t>
  </si>
  <si>
    <t>#品目</t>
  </si>
  <si>
    <t>野菜名</t>
  </si>
  <si>
    <t>所得（千円）</t>
  </si>
  <si>
    <t>粗収益</t>
  </si>
  <si>
    <t>経営費(減価償却費除く)</t>
  </si>
  <si>
    <t>経営費率</t>
  </si>
  <si>
    <t>総労働時間(h)</t>
  </si>
  <si>
    <t>時給(円/h)</t>
  </si>
  <si>
    <t>休栽年数</t>
  </si>
  <si>
    <t>s(h)</t>
  </si>
  <si>
    <t>o(h)</t>
  </si>
  <si>
    <t>f(h)</t>
  </si>
  <si>
    <t>粗収益/月</t>
  </si>
  <si>
    <t>経営費/月</t>
  </si>
  <si>
    <t>50a</t>
  </si>
  <si>
    <t>ヘチマ</t>
  </si>
  <si>
    <t>s</t>
  </si>
  <si>
    <t>o</t>
  </si>
  <si>
    <t>f</t>
  </si>
  <si>
    <t>50b</t>
  </si>
  <si>
    <t>51a</t>
  </si>
  <si>
    <t>かぼちゃ</t>
  </si>
  <si>
    <t>51b</t>
  </si>
  <si>
    <t>51c</t>
  </si>
  <si>
    <t>51d</t>
  </si>
  <si>
    <t>51e</t>
  </si>
  <si>
    <t>51f</t>
  </si>
  <si>
    <t>51g</t>
  </si>
  <si>
    <t>51h</t>
  </si>
  <si>
    <t>52a</t>
  </si>
  <si>
    <t>とうがん</t>
  </si>
  <si>
    <t>52b</t>
  </si>
  <si>
    <t>52c</t>
  </si>
  <si>
    <t>52d</t>
  </si>
  <si>
    <t>53a</t>
  </si>
  <si>
    <t>スイートコーン</t>
  </si>
  <si>
    <t>53b</t>
  </si>
  <si>
    <t>54a</t>
  </si>
  <si>
    <t>オクラ</t>
  </si>
  <si>
    <t>54b</t>
  </si>
  <si>
    <t>54c</t>
  </si>
  <si>
    <t>54d</t>
  </si>
  <si>
    <t>54e</t>
  </si>
  <si>
    <t>54f</t>
  </si>
  <si>
    <t>54g</t>
  </si>
  <si>
    <t>55a</t>
  </si>
  <si>
    <t>モロヘイヤ</t>
  </si>
  <si>
    <t>55b</t>
  </si>
  <si>
    <t>56a</t>
  </si>
  <si>
    <t>キャベツ</t>
  </si>
  <si>
    <t>56b</t>
  </si>
  <si>
    <t>56c</t>
  </si>
  <si>
    <t>56d</t>
  </si>
  <si>
    <t>56e</t>
  </si>
  <si>
    <t>56f</t>
  </si>
  <si>
    <t>56g</t>
  </si>
  <si>
    <t>57a</t>
  </si>
  <si>
    <t>レタス</t>
  </si>
  <si>
    <t>57b</t>
  </si>
  <si>
    <t>57c</t>
  </si>
  <si>
    <t>57d</t>
  </si>
  <si>
    <t>57e</t>
  </si>
  <si>
    <t>58a</t>
  </si>
  <si>
    <t>ばれいしょ</t>
  </si>
  <si>
    <t>58b</t>
  </si>
  <si>
    <t>58c</t>
  </si>
  <si>
    <t>59a</t>
  </si>
  <si>
    <t>ダイコン</t>
  </si>
  <si>
    <t>59b</t>
  </si>
  <si>
    <t>59c</t>
  </si>
  <si>
    <t>59d</t>
  </si>
  <si>
    <t>59e</t>
  </si>
  <si>
    <t>60a</t>
  </si>
  <si>
    <t>ニンジン</t>
  </si>
  <si>
    <t>60b</t>
  </si>
  <si>
    <t>60c</t>
  </si>
  <si>
    <t>60d</t>
  </si>
  <si>
    <t>参照用固定</t>
  </si>
  <si>
    <t>キー</t>
  </si>
  <si>
    <t>値</t>
  </si>
  <si>
    <t>単位</t>
  </si>
  <si>
    <t>asset_purchase</t>
  </si>
  <si>
    <t>千円</t>
  </si>
  <si>
    <t>減価償却費</t>
  </si>
  <si>
    <t>annual_depreciation</t>
  </si>
  <si>
    <t>千円/年</t>
  </si>
  <si>
    <t>plot_count</t>
  </si>
  <si>
    <t>区画</t>
  </si>
  <si>
    <t>annual_rent_thousand_yen</t>
  </si>
  <si>
    <t>land_purchase_thousand_yen</t>
  </si>
  <si>
    <t>合計</t>
  </si>
  <si>
    <t>＜輪作計画表＞</t>
  </si>
  <si>
    <t>A</t>
  </si>
  <si>
    <t>B</t>
  </si>
  <si>
    <t>C</t>
  </si>
  <si>
    <t>D</t>
  </si>
  <si>
    <t>＜労働時間算定表＞</t>
  </si>
  <si>
    <t>単位：時間</t>
  </si>
  <si>
    <t>&lt;簡易月次PL&gt;</t>
  </si>
  <si>
    <t>単位：千円</t>
  </si>
  <si>
    <t>経営費</t>
  </si>
  <si>
    <t>所得</t>
  </si>
  <si>
    <t>農地賃借の場合</t>
  </si>
  <si>
    <t>&lt;簡易PL&gt;</t>
  </si>
  <si>
    <t>FY</t>
  </si>
  <si>
    <t>直接経営費</t>
  </si>
  <si>
    <t>平均所得</t>
  </si>
  <si>
    <t>&lt;簡易PL_試行期間加味&gt;</t>
  </si>
  <si>
    <t>&lt;簡易CF&gt;</t>
  </si>
  <si>
    <t>期初残</t>
  </si>
  <si>
    <t>必要現預金</t>
  </si>
  <si>
    <t>収入</t>
  </si>
  <si>
    <t>支出</t>
  </si>
  <si>
    <t>Net</t>
  </si>
  <si>
    <t>期末残</t>
  </si>
  <si>
    <t>農地購入の場合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</si>
</sst>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333333"/>
      <name val="メイリオ"/>
      <family val="3"/>
      <charset val="128"/>
    </font>
    <font>
      <sz val="11"/>
      <color rgb="FF000000"/>
      <name val="メイリオ"/>
      <family val="3"/>
      <charset val="128"/>
    </font>
    <font>
      <b/>
      <sz val="11"/>
      <color rgb="FF333333"/>
      <name val="メイリオ"/>
      <family val="3"/>
      <charset val="128"/>
    </font>
    <font>
      <sz val="11"/>
      <color theme="1"/>
      <name val="Yu Gothic"/>
      <family val="2"/>
      <scheme val="minor"/>
    </font>
    <font>
      <sz val="1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b/>
      <sz val="11"/>
      <color theme="1"/>
      <name val="Yu Gothic"/>
      <family val="2"/>
      <scheme val="minor"/>
    </font>
    <font>
      <b/>
      <sz val="11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4E9F4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8" fontId="6" fillId="0" borderId="0">
      <alignment vertical="center"/>
    </xf>
    <xf numFmtId="9" fontId="6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/>
    <xf numFmtId="0" fontId="5" fillId="2" borderId="2" xfId="0" applyFont="1" applyFill="1" applyBorder="1" applyAlignment="1">
      <alignment horizontal="left" vertical="center"/>
    </xf>
    <xf numFmtId="38" fontId="0" fillId="0" borderId="0" xfId="1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8" fillId="0" borderId="0" xfId="0" applyFont="1"/>
    <xf numFmtId="9" fontId="0" fillId="0" borderId="0" xfId="2" applyFont="1" applyAlignment="1"/>
    <xf numFmtId="0" fontId="5" fillId="2" borderId="1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shrinkToFi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shrinkToFit="1"/>
    </xf>
    <xf numFmtId="0" fontId="8" fillId="0" borderId="0" xfId="0" applyFont="1" applyAlignment="1">
      <alignment vertical="top"/>
    </xf>
    <xf numFmtId="0" fontId="5" fillId="3" borderId="0" xfId="0" applyFont="1" applyFill="1" applyAlignment="1">
      <alignment horizontal="center" vertical="top"/>
    </xf>
    <xf numFmtId="0" fontId="0" fillId="0" borderId="0" xfId="0" applyAlignment="1">
      <alignment horizontal="right" vertical="top"/>
    </xf>
    <xf numFmtId="38" fontId="0" fillId="0" borderId="0" xfId="1" applyFont="1" applyAlignment="1">
      <alignment horizontal="center" vertical="top" shrinkToFit="1"/>
    </xf>
    <xf numFmtId="0" fontId="8" fillId="0" borderId="3" xfId="0" applyFont="1" applyBorder="1" applyAlignment="1">
      <alignment horizontal="center" vertical="top" shrinkToFit="1"/>
    </xf>
    <xf numFmtId="38" fontId="8" fillId="0" borderId="3" xfId="1" applyFont="1" applyBorder="1" applyAlignment="1">
      <alignment horizontal="center" vertical="top" shrinkToFit="1"/>
    </xf>
    <xf numFmtId="0" fontId="8" fillId="0" borderId="0" xfId="0" applyFont="1" applyAlignment="1">
      <alignment horizontal="center" vertical="top" shrinkToFit="1"/>
    </xf>
    <xf numFmtId="38" fontId="8" fillId="0" borderId="0" xfId="1" applyFont="1" applyAlignment="1">
      <alignment horizontal="center" vertical="top" shrinkToFit="1"/>
    </xf>
    <xf numFmtId="0" fontId="5" fillId="2" borderId="4" xfId="0" applyFont="1" applyFill="1" applyBorder="1" applyAlignment="1">
      <alignment horizontal="center" vertical="top"/>
    </xf>
    <xf numFmtId="38" fontId="0" fillId="0" borderId="3" xfId="0" applyNumberFormat="1" applyBorder="1" applyAlignment="1">
      <alignment vertical="top" shrinkToFit="1"/>
    </xf>
    <xf numFmtId="38" fontId="0" fillId="0" borderId="0" xfId="0" applyNumberFormat="1" applyAlignment="1">
      <alignment vertical="top"/>
    </xf>
    <xf numFmtId="38" fontId="0" fillId="0" borderId="3" xfId="0" applyNumberFormat="1" applyBorder="1" applyAlignment="1">
      <alignment vertical="top"/>
    </xf>
    <xf numFmtId="9" fontId="0" fillId="0" borderId="0" xfId="0" applyNumberFormat="1" applyAlignment="1">
      <alignment vertical="top"/>
    </xf>
    <xf numFmtId="38" fontId="0" fillId="0" borderId="0" xfId="0" applyNumberFormat="1" applyAlignment="1">
      <alignment vertical="top" shrinkToFit="1"/>
    </xf>
    <xf numFmtId="0" fontId="5" fillId="2" borderId="0" xfId="0" applyFont="1" applyFill="1" applyAlignment="1">
      <alignment horizontal="center" vertical="top" shrinkToFit="1"/>
    </xf>
    <xf numFmtId="0" fontId="0" fillId="0" borderId="0" xfId="0" applyAlignment="1">
      <alignment horizontal="right" vertical="top" shrinkToFit="1"/>
    </xf>
    <xf numFmtId="0" fontId="11" fillId="0" borderId="0" xfId="0" applyFont="1" applyAlignment="1">
      <alignment vertical="top" shrinkToFit="1"/>
    </xf>
    <xf numFmtId="0" fontId="11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center" vertical="top" shrinkToFit="1"/>
    </xf>
    <xf numFmtId="38" fontId="6" fillId="0" borderId="0" xfId="1" applyAlignment="1">
      <alignment horizontal="center" vertical="top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2" borderId="1" xfId="0" applyFont="1" applyFill="1" applyBorder="1" applyAlignment="1">
      <alignment horizontal="left" vertical="center" shrinkToFit="1"/>
    </xf>
    <xf numFmtId="0" fontId="5" fillId="2" borderId="2" xfId="0" applyFont="1" applyFill="1" applyBorder="1" applyAlignment="1">
      <alignment horizontal="left" vertical="center" shrinkToFit="1"/>
    </xf>
    <xf numFmtId="0" fontId="5" fillId="2" borderId="0" xfId="0" applyFont="1" applyFill="1" applyAlignment="1">
      <alignment horizontal="center" vertical="center" shrinkToFit="1"/>
    </xf>
    <xf numFmtId="38" fontId="5" fillId="2" borderId="2" xfId="1" applyFont="1" applyFill="1" applyBorder="1" applyAlignment="1">
      <alignment horizontal="left" vertical="center" shrinkToFit="1"/>
    </xf>
    <xf numFmtId="0" fontId="0" fillId="0" borderId="0" xfId="0" applyAlignment="1">
      <alignment shrinkToFit="1"/>
    </xf>
    <xf numFmtId="0" fontId="5" fillId="2" borderId="2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top" shrinkToFit="1"/>
    </xf>
    <xf numFmtId="0" fontId="12" fillId="0" borderId="6" xfId="0" applyFont="1" applyBorder="1" applyAlignment="1">
      <alignment horizontal="center" vertical="top" shrinkToFit="1"/>
    </xf>
    <xf numFmtId="0" fontId="0" fillId="0" borderId="6" xfId="0" applyBorder="1" applyAlignment="1">
      <alignment vertical="top" shrinkToFit="1"/>
    </xf>
    <xf numFmtId="0" fontId="7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2" fillId="0" borderId="0" xfId="0" applyFont="1" applyAlignment="1">
      <alignment vertical="top" shrinkToFit="1"/>
    </xf>
    <xf numFmtId="0" fontId="6" fillId="0" borderId="0" xfId="0" applyFont="1" applyAlignment="1">
      <alignment horizontal="center" vertical="top"/>
    </xf>
    <xf numFmtId="38" fontId="8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38" fontId="0" fillId="0" borderId="0" xfId="1" applyFont="1" applyAlignment="1">
      <alignment vertical="top" shrinkToFit="1"/>
    </xf>
    <xf numFmtId="0" fontId="8" fillId="0" borderId="5" xfId="0" applyFont="1" applyBorder="1" applyAlignment="1">
      <alignment horizontal="center" vertical="top" shrinkToFit="1"/>
    </xf>
    <xf numFmtId="38" fontId="0" fillId="0" borderId="5" xfId="1" applyFont="1" applyBorder="1" applyAlignment="1">
      <alignment vertical="top" shrinkToFit="1"/>
    </xf>
    <xf numFmtId="38" fontId="0" fillId="0" borderId="5" xfId="0" applyNumberFormat="1" applyBorder="1" applyAlignment="1">
      <alignment vertical="top" shrinkToFit="1"/>
    </xf>
    <xf numFmtId="0" fontId="8" fillId="0" borderId="6" xfId="0" applyFont="1" applyBorder="1" applyAlignment="1">
      <alignment horizontal="center" vertical="top" shrinkToFit="1"/>
    </xf>
    <xf numFmtId="38" fontId="0" fillId="0" borderId="6" xfId="0" applyNumberFormat="1" applyBorder="1" applyAlignment="1">
      <alignment vertical="top" shrinkToFit="1"/>
    </xf>
    <xf numFmtId="38" fontId="0" fillId="0" borderId="0" xfId="1" applyFont="1" applyAlignment="1">
      <alignment vertical="top"/>
    </xf>
    <xf numFmtId="38" fontId="3" fillId="0" borderId="5" xfId="0" applyNumberFormat="1" applyFont="1" applyBorder="1" applyAlignment="1">
      <alignment horizontal="right" vertical="top" shrinkToFit="1"/>
    </xf>
    <xf numFmtId="38" fontId="3" fillId="0" borderId="0" xfId="0" applyNumberFormat="1" applyFont="1" applyAlignment="1">
      <alignment horizontal="right" vertical="top" shrinkToFit="1"/>
    </xf>
    <xf numFmtId="0" fontId="10" fillId="0" borderId="0" xfId="0" applyFont="1"/>
    <xf numFmtId="0" fontId="10" fillId="0" borderId="7" xfId="0" applyFont="1" applyBorder="1"/>
    <xf numFmtId="0" fontId="10" fillId="0" borderId="3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38" fontId="10" fillId="0" borderId="0" xfId="1" applyFont="1" applyAlignment="1"/>
    <xf numFmtId="0" fontId="10" fillId="0" borderId="0" xfId="0" applyFont="1" applyAlignment="1">
      <alignment vertical="center"/>
    </xf>
    <xf numFmtId="38" fontId="10" fillId="0" borderId="0" xfId="1" applyFont="1" applyAlignment="1">
      <alignment vertical="top" shrinkToFit="1"/>
    </xf>
    <xf numFmtId="38" fontId="10" fillId="0" borderId="5" xfId="1" applyFont="1" applyBorder="1">
      <alignment vertical="center"/>
    </xf>
    <xf numFmtId="0" fontId="0" fillId="0" borderId="0" xfId="0" applyAlignment="1">
      <alignment horizontal="left" vertical="top"/>
    </xf>
    <xf numFmtId="0" fontId="13" fillId="0" borderId="0" xfId="0" applyFont="1" applyAlignment="1">
      <alignment vertical="top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38" fontId="6" fillId="0" borderId="0" xfId="1" applyFill="1" applyAlignment="1">
      <alignment vertical="center" shrinkToFit="1"/>
    </xf>
    <xf numFmtId="38" fontId="0" fillId="0" borderId="0" xfId="1" applyFont="1" applyFill="1" applyAlignment="1"/>
    <xf numFmtId="9" fontId="0" fillId="0" borderId="0" xfId="2" applyFont="1" applyFill="1" applyAlignment="1"/>
    <xf numFmtId="0" fontId="10" fillId="0" borderId="0" xfId="0" applyFont="1" applyFill="1" applyAlignment="1">
      <alignment horizontal="center" vertical="center"/>
    </xf>
    <xf numFmtId="176" fontId="6" fillId="0" borderId="0" xfId="1" applyNumberFormat="1" applyFill="1" applyAlignment="1">
      <alignment vertical="center" shrinkToFit="1"/>
    </xf>
    <xf numFmtId="0" fontId="10" fillId="0" borderId="0" xfId="0" applyFont="1" applyFill="1" applyAlignment="1">
      <alignment horizontal="center" vertical="center" shrinkToFit="1"/>
    </xf>
    <xf numFmtId="176" fontId="0" fillId="0" borderId="0" xfId="1" applyNumberFormat="1" applyFont="1" applyFill="1" applyAlignment="1">
      <alignment vertical="center" shrinkToFit="1"/>
    </xf>
  </cellXfs>
  <cellStyles count="4">
    <cellStyle name="パーセント" xfId="2" builtinId="5"/>
    <cellStyle name="桁区切り" xfId="1" builtinId="6"/>
    <cellStyle name="標準" xfId="0" builtinId="0"/>
    <cellStyle name="標準 2" xfId="3" xr:uid="{00000000-0005-0000-0000-000003000000}"/>
  </cellStyles>
  <dxfs count="6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2"/>
  <sheetViews>
    <sheetView showGridLines="0" zoomScale="55" zoomScaleNormal="55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8"/>
  <cols>
    <col min="1" max="1" width="9.6640625" bestFit="1" customWidth="1"/>
    <col min="3" max="3" width="21.33203125" customWidth="1"/>
    <col min="4" max="4" width="9" style="2" customWidth="1"/>
    <col min="5" max="5" width="8.6640625" style="2" customWidth="1"/>
    <col min="6" max="6" width="9.6640625" hidden="1" customWidth="1"/>
    <col min="7" max="7" width="11.58203125" bestFit="1" customWidth="1"/>
    <col min="8" max="9" width="9" style="2" customWidth="1"/>
    <col min="10" max="10" width="9" customWidth="1"/>
    <col min="11" max="22" width="5.58203125" customWidth="1"/>
    <col min="23" max="25" width="9" customWidth="1"/>
    <col min="26" max="27" width="8.6640625" customWidth="1"/>
  </cols>
  <sheetData>
    <row r="1" spans="1:27" s="40" customFormat="1" ht="18.5" customHeight="1" thickBot="1">
      <c r="A1" s="41" t="s">
        <v>0</v>
      </c>
      <c r="B1" s="41" t="s">
        <v>1</v>
      </c>
      <c r="C1" s="36" t="s">
        <v>2</v>
      </c>
      <c r="D1" s="39" t="s">
        <v>3</v>
      </c>
      <c r="E1" s="39" t="s">
        <v>4</v>
      </c>
      <c r="F1" s="37" t="s">
        <v>5</v>
      </c>
      <c r="G1" s="37" t="s">
        <v>6</v>
      </c>
      <c r="H1" s="39" t="s">
        <v>7</v>
      </c>
      <c r="I1" s="39" t="s">
        <v>8</v>
      </c>
      <c r="J1" s="1" t="s">
        <v>9</v>
      </c>
      <c r="K1" s="38">
        <v>4</v>
      </c>
      <c r="L1" s="38">
        <v>5</v>
      </c>
      <c r="M1" s="38">
        <v>6</v>
      </c>
      <c r="N1" s="38">
        <v>7</v>
      </c>
      <c r="O1" s="38">
        <v>8</v>
      </c>
      <c r="P1" s="38">
        <v>9</v>
      </c>
      <c r="Q1" s="38">
        <v>10</v>
      </c>
      <c r="R1" s="38">
        <v>11</v>
      </c>
      <c r="S1" s="38">
        <v>12</v>
      </c>
      <c r="T1" s="38">
        <v>1</v>
      </c>
      <c r="U1" s="38">
        <v>2</v>
      </c>
      <c r="V1" s="38">
        <v>3</v>
      </c>
      <c r="W1" s="38" t="s">
        <v>10</v>
      </c>
      <c r="X1" s="38" t="s">
        <v>11</v>
      </c>
      <c r="Y1" s="38" t="s">
        <v>12</v>
      </c>
      <c r="Z1" s="37" t="s">
        <v>13</v>
      </c>
      <c r="AA1" s="37" t="s">
        <v>14</v>
      </c>
    </row>
    <row r="2" spans="1:27" ht="18.5" customHeight="1">
      <c r="A2" s="74" t="s">
        <v>15</v>
      </c>
      <c r="B2" s="74">
        <v>50</v>
      </c>
      <c r="C2" s="75" t="s">
        <v>16</v>
      </c>
      <c r="D2" s="76">
        <v>440</v>
      </c>
      <c r="E2" s="77">
        <v>767.88830715532288</v>
      </c>
      <c r="F2" s="77">
        <v>327.88830715532288</v>
      </c>
      <c r="G2" s="78">
        <v>0.42699999999999999</v>
      </c>
      <c r="H2" s="76">
        <v>652</v>
      </c>
      <c r="I2" s="76">
        <v>674.84662576687117</v>
      </c>
      <c r="J2" s="75">
        <v>2</v>
      </c>
      <c r="K2" s="79" t="s">
        <v>17</v>
      </c>
      <c r="L2" s="79" t="s">
        <v>18</v>
      </c>
      <c r="M2" s="79" t="s">
        <v>18</v>
      </c>
      <c r="N2" s="79" t="s">
        <v>19</v>
      </c>
      <c r="O2" s="79" t="s">
        <v>19</v>
      </c>
      <c r="P2" s="79" t="s">
        <v>19</v>
      </c>
      <c r="Q2" s="79"/>
      <c r="R2" s="79"/>
      <c r="S2" s="79"/>
      <c r="T2" s="79"/>
      <c r="U2" s="79"/>
      <c r="V2" s="79" t="s">
        <v>17</v>
      </c>
      <c r="W2" s="80">
        <v>48.9</v>
      </c>
      <c r="X2" s="80">
        <v>65.2</v>
      </c>
      <c r="Y2" s="80">
        <v>141.26666666666668</v>
      </c>
      <c r="Z2" s="77">
        <v>255.9627690517743</v>
      </c>
      <c r="AA2" s="77">
        <v>163.94415357766144</v>
      </c>
    </row>
    <row r="3" spans="1:27" ht="18.5" customHeight="1">
      <c r="A3" s="74" t="s">
        <v>20</v>
      </c>
      <c r="B3" s="74">
        <v>50</v>
      </c>
      <c r="C3" s="75" t="s">
        <v>16</v>
      </c>
      <c r="D3" s="76">
        <v>440</v>
      </c>
      <c r="E3" s="77">
        <v>767.88830715532288</v>
      </c>
      <c r="F3" s="77">
        <v>327.88830715532288</v>
      </c>
      <c r="G3" s="78">
        <v>0.42699999999999999</v>
      </c>
      <c r="H3" s="76">
        <v>652</v>
      </c>
      <c r="I3" s="76">
        <v>674.84662576687117</v>
      </c>
      <c r="J3" s="75">
        <v>2</v>
      </c>
      <c r="K3" s="79" t="s">
        <v>17</v>
      </c>
      <c r="L3" s="79" t="s">
        <v>17</v>
      </c>
      <c r="M3" s="79" t="s">
        <v>18</v>
      </c>
      <c r="N3" s="79" t="s">
        <v>18</v>
      </c>
      <c r="O3" s="79" t="s">
        <v>19</v>
      </c>
      <c r="P3" s="79" t="s">
        <v>19</v>
      </c>
      <c r="Q3" s="79" t="s">
        <v>19</v>
      </c>
      <c r="R3" s="79"/>
      <c r="S3" s="79"/>
      <c r="T3" s="79"/>
      <c r="U3" s="79"/>
      <c r="V3" s="79"/>
      <c r="W3" s="80">
        <v>48.9</v>
      </c>
      <c r="X3" s="80">
        <v>65.2</v>
      </c>
      <c r="Y3" s="80">
        <v>141.26666666666668</v>
      </c>
      <c r="Z3" s="77">
        <v>255.9627690517743</v>
      </c>
      <c r="AA3" s="77">
        <v>163.94415357766144</v>
      </c>
    </row>
    <row r="4" spans="1:27" ht="18.5" customHeight="1">
      <c r="A4" s="74" t="s">
        <v>21</v>
      </c>
      <c r="B4" s="74">
        <v>51</v>
      </c>
      <c r="C4" s="75" t="s">
        <v>22</v>
      </c>
      <c r="D4" s="76">
        <v>158</v>
      </c>
      <c r="E4" s="77">
        <v>364.05529953917051</v>
      </c>
      <c r="F4" s="77">
        <v>206.05529953917051</v>
      </c>
      <c r="G4" s="78">
        <v>0.56599999999999995</v>
      </c>
      <c r="H4" s="76">
        <v>115</v>
      </c>
      <c r="I4" s="76">
        <v>1373.9130434782608</v>
      </c>
      <c r="J4" s="75">
        <v>1</v>
      </c>
      <c r="K4" s="79"/>
      <c r="L4" s="79"/>
      <c r="M4" s="79"/>
      <c r="N4" s="79"/>
      <c r="O4" s="79"/>
      <c r="P4" s="79" t="s">
        <v>17</v>
      </c>
      <c r="Q4" s="79" t="s">
        <v>17</v>
      </c>
      <c r="R4" s="79" t="s">
        <v>18</v>
      </c>
      <c r="S4" s="79" t="s">
        <v>18</v>
      </c>
      <c r="T4" s="79" t="s">
        <v>19</v>
      </c>
      <c r="U4" s="79" t="s">
        <v>19</v>
      </c>
      <c r="V4" s="79"/>
      <c r="W4" s="80">
        <v>8.625</v>
      </c>
      <c r="X4" s="80">
        <v>11.5</v>
      </c>
      <c r="Y4" s="80">
        <v>37.375</v>
      </c>
      <c r="Z4" s="77">
        <v>182.02764976958525</v>
      </c>
      <c r="AA4" s="77">
        <v>103.02764976958525</v>
      </c>
    </row>
    <row r="5" spans="1:27" ht="18.5" customHeight="1">
      <c r="A5" s="74" t="s">
        <v>23</v>
      </c>
      <c r="B5" s="74">
        <v>51</v>
      </c>
      <c r="C5" s="75" t="s">
        <v>22</v>
      </c>
      <c r="D5" s="76">
        <v>158</v>
      </c>
      <c r="E5" s="77">
        <v>364.05529953917051</v>
      </c>
      <c r="F5" s="77">
        <v>206.05529953917051</v>
      </c>
      <c r="G5" s="78">
        <v>0.56599999999999995</v>
      </c>
      <c r="H5" s="76">
        <v>115</v>
      </c>
      <c r="I5" s="76">
        <v>1373.9130434782608</v>
      </c>
      <c r="J5" s="75">
        <v>1</v>
      </c>
      <c r="K5" s="79"/>
      <c r="L5" s="79"/>
      <c r="M5" s="79"/>
      <c r="N5" s="79"/>
      <c r="O5" s="79"/>
      <c r="P5" s="79"/>
      <c r="Q5" s="79" t="s">
        <v>17</v>
      </c>
      <c r="R5" s="79" t="s">
        <v>17</v>
      </c>
      <c r="S5" s="79" t="s">
        <v>18</v>
      </c>
      <c r="T5" s="79" t="s">
        <v>18</v>
      </c>
      <c r="U5" s="79" t="s">
        <v>19</v>
      </c>
      <c r="V5" s="79" t="s">
        <v>19</v>
      </c>
      <c r="W5" s="80">
        <v>8.625</v>
      </c>
      <c r="X5" s="80">
        <v>11.5</v>
      </c>
      <c r="Y5" s="80">
        <v>37.375</v>
      </c>
      <c r="Z5" s="77">
        <v>182.02764976958525</v>
      </c>
      <c r="AA5" s="77">
        <v>103.02764976958525</v>
      </c>
    </row>
    <row r="6" spans="1:27" ht="18.5" customHeight="1">
      <c r="A6" s="74" t="s">
        <v>24</v>
      </c>
      <c r="B6" s="74">
        <v>51</v>
      </c>
      <c r="C6" s="75" t="s">
        <v>22</v>
      </c>
      <c r="D6" s="76">
        <v>158</v>
      </c>
      <c r="E6" s="77">
        <v>364.05529953917051</v>
      </c>
      <c r="F6" s="77">
        <v>206.05529953917051</v>
      </c>
      <c r="G6" s="78">
        <v>0.56599999999999995</v>
      </c>
      <c r="H6" s="76">
        <v>115</v>
      </c>
      <c r="I6" s="76">
        <v>1373.9130434782608</v>
      </c>
      <c r="J6" s="75">
        <v>1</v>
      </c>
      <c r="K6" s="79" t="s">
        <v>19</v>
      </c>
      <c r="L6" s="79"/>
      <c r="M6" s="79"/>
      <c r="N6" s="79"/>
      <c r="O6" s="79"/>
      <c r="P6" s="79"/>
      <c r="Q6" s="79"/>
      <c r="R6" s="79" t="s">
        <v>17</v>
      </c>
      <c r="S6" s="79" t="s">
        <v>17</v>
      </c>
      <c r="T6" s="79" t="s">
        <v>18</v>
      </c>
      <c r="U6" s="79" t="s">
        <v>18</v>
      </c>
      <c r="V6" s="79" t="s">
        <v>19</v>
      </c>
      <c r="W6" s="80">
        <v>8.625</v>
      </c>
      <c r="X6" s="80">
        <v>11.5</v>
      </c>
      <c r="Y6" s="80">
        <v>37.375</v>
      </c>
      <c r="Z6" s="77">
        <v>182.02764976958525</v>
      </c>
      <c r="AA6" s="77">
        <v>103.02764976958525</v>
      </c>
    </row>
    <row r="7" spans="1:27" ht="18.5" customHeight="1">
      <c r="A7" s="74" t="s">
        <v>25</v>
      </c>
      <c r="B7" s="74">
        <v>51</v>
      </c>
      <c r="C7" s="75" t="s">
        <v>22</v>
      </c>
      <c r="D7" s="76">
        <v>158</v>
      </c>
      <c r="E7" s="77">
        <v>364.05529953917051</v>
      </c>
      <c r="F7" s="77">
        <v>206.05529953917051</v>
      </c>
      <c r="G7" s="78">
        <v>0.56599999999999995</v>
      </c>
      <c r="H7" s="76">
        <v>115</v>
      </c>
      <c r="I7" s="76">
        <v>1373.9130434782608</v>
      </c>
      <c r="J7" s="75">
        <v>1</v>
      </c>
      <c r="K7" s="79" t="s">
        <v>19</v>
      </c>
      <c r="L7" s="79" t="s">
        <v>19</v>
      </c>
      <c r="M7" s="79"/>
      <c r="N7" s="79"/>
      <c r="O7" s="79"/>
      <c r="P7" s="79"/>
      <c r="Q7" s="79"/>
      <c r="R7" s="79"/>
      <c r="S7" s="79"/>
      <c r="T7" s="79" t="s">
        <v>17</v>
      </c>
      <c r="U7" s="79" t="s">
        <v>17</v>
      </c>
      <c r="V7" s="79" t="s">
        <v>18</v>
      </c>
      <c r="W7" s="80">
        <v>8.625</v>
      </c>
      <c r="X7" s="80">
        <v>23</v>
      </c>
      <c r="Y7" s="80">
        <v>37.375</v>
      </c>
      <c r="Z7" s="77">
        <v>182.02764976958525</v>
      </c>
      <c r="AA7" s="77">
        <v>103.02764976958525</v>
      </c>
    </row>
    <row r="8" spans="1:27" ht="18.5" customHeight="1">
      <c r="A8" s="74" t="s">
        <v>26</v>
      </c>
      <c r="B8" s="74">
        <v>51</v>
      </c>
      <c r="C8" s="75" t="s">
        <v>22</v>
      </c>
      <c r="D8" s="76">
        <v>158</v>
      </c>
      <c r="E8" s="77">
        <v>364.05529953917051</v>
      </c>
      <c r="F8" s="77">
        <v>206.05529953917051</v>
      </c>
      <c r="G8" s="78">
        <v>0.56599999999999995</v>
      </c>
      <c r="H8" s="76">
        <v>115</v>
      </c>
      <c r="I8" s="76">
        <v>1373.9130434782608</v>
      </c>
      <c r="J8" s="75">
        <v>1</v>
      </c>
      <c r="K8" s="79" t="s">
        <v>18</v>
      </c>
      <c r="L8" s="79" t="s">
        <v>19</v>
      </c>
      <c r="M8" s="79" t="s">
        <v>19</v>
      </c>
      <c r="N8" s="79"/>
      <c r="O8" s="79"/>
      <c r="P8" s="79"/>
      <c r="Q8" s="79"/>
      <c r="R8" s="79"/>
      <c r="S8" s="79"/>
      <c r="T8" s="79"/>
      <c r="U8" s="79" t="s">
        <v>17</v>
      </c>
      <c r="V8" s="79" t="s">
        <v>17</v>
      </c>
      <c r="W8" s="80">
        <v>8.625</v>
      </c>
      <c r="X8" s="80">
        <v>23</v>
      </c>
      <c r="Y8" s="80">
        <v>37.375</v>
      </c>
      <c r="Z8" s="77">
        <v>182.02764976958525</v>
      </c>
      <c r="AA8" s="77">
        <v>103.02764976958525</v>
      </c>
    </row>
    <row r="9" spans="1:27" ht="18.5" customHeight="1">
      <c r="A9" s="74" t="s">
        <v>27</v>
      </c>
      <c r="B9" s="74">
        <v>51</v>
      </c>
      <c r="C9" s="75" t="s">
        <v>22</v>
      </c>
      <c r="D9" s="76">
        <v>158</v>
      </c>
      <c r="E9" s="77">
        <v>364.05529953917051</v>
      </c>
      <c r="F9" s="77">
        <v>206.05529953917051</v>
      </c>
      <c r="G9" s="78">
        <v>0.56599999999999995</v>
      </c>
      <c r="H9" s="76">
        <v>115</v>
      </c>
      <c r="I9" s="76">
        <v>1373.9130434782608</v>
      </c>
      <c r="J9" s="75">
        <v>1</v>
      </c>
      <c r="K9" s="79" t="s">
        <v>17</v>
      </c>
      <c r="L9" s="79" t="s">
        <v>18</v>
      </c>
      <c r="M9" s="79" t="s">
        <v>19</v>
      </c>
      <c r="N9" s="79" t="s">
        <v>19</v>
      </c>
      <c r="O9" s="79"/>
      <c r="P9" s="79"/>
      <c r="Q9" s="79"/>
      <c r="R9" s="79"/>
      <c r="S9" s="79"/>
      <c r="T9" s="79"/>
      <c r="U9" s="79"/>
      <c r="V9" s="79" t="s">
        <v>17</v>
      </c>
      <c r="W9" s="80">
        <v>8.625</v>
      </c>
      <c r="X9" s="80">
        <v>23</v>
      </c>
      <c r="Y9" s="80">
        <v>37.375</v>
      </c>
      <c r="Z9" s="77">
        <v>182.02764976958525</v>
      </c>
      <c r="AA9" s="77">
        <v>103.02764976958525</v>
      </c>
    </row>
    <row r="10" spans="1:27" ht="18.5" customHeight="1">
      <c r="A10" s="74" t="s">
        <v>28</v>
      </c>
      <c r="B10" s="74">
        <v>51</v>
      </c>
      <c r="C10" s="75" t="s">
        <v>22</v>
      </c>
      <c r="D10" s="76">
        <v>211.99097065462757</v>
      </c>
      <c r="E10" s="77">
        <v>493.00225733634312</v>
      </c>
      <c r="F10" s="77">
        <v>281.01128668171555</v>
      </c>
      <c r="G10" s="78">
        <v>0.56999999999999995</v>
      </c>
      <c r="H10" s="76">
        <v>227</v>
      </c>
      <c r="I10" s="76">
        <v>933.88092799395406</v>
      </c>
      <c r="J10" s="75">
        <v>1</v>
      </c>
      <c r="K10" s="79" t="s">
        <v>19</v>
      </c>
      <c r="L10" s="79"/>
      <c r="M10" s="79"/>
      <c r="N10" s="79"/>
      <c r="O10" s="79"/>
      <c r="P10" s="79"/>
      <c r="Q10" s="79"/>
      <c r="R10" s="79" t="s">
        <v>17</v>
      </c>
      <c r="S10" s="79" t="s">
        <v>18</v>
      </c>
      <c r="T10" s="79" t="s">
        <v>18</v>
      </c>
      <c r="U10" s="79" t="s">
        <v>18</v>
      </c>
      <c r="V10" s="79" t="s">
        <v>19</v>
      </c>
      <c r="W10" s="80">
        <v>25</v>
      </c>
      <c r="X10" s="80">
        <v>63.166666666666664</v>
      </c>
      <c r="Y10" s="80">
        <v>12.5</v>
      </c>
      <c r="Z10" s="77">
        <v>246.50112866817156</v>
      </c>
      <c r="AA10" s="77">
        <v>281.01128668171555</v>
      </c>
    </row>
    <row r="11" spans="1:27" ht="18.5" customHeight="1">
      <c r="A11" s="74" t="s">
        <v>29</v>
      </c>
      <c r="B11" s="74">
        <v>51</v>
      </c>
      <c r="C11" s="75" t="s">
        <v>22</v>
      </c>
      <c r="D11" s="76">
        <v>247.32279909706551</v>
      </c>
      <c r="E11" s="77">
        <v>575.16930022573365</v>
      </c>
      <c r="F11" s="77">
        <v>327.84650112866814</v>
      </c>
      <c r="G11" s="78">
        <v>0.56999999999999995</v>
      </c>
      <c r="H11" s="76">
        <v>135.80000000000001</v>
      </c>
      <c r="I11" s="76">
        <v>1821.2282702287591</v>
      </c>
      <c r="J11" s="75">
        <v>1</v>
      </c>
      <c r="K11" s="79"/>
      <c r="L11" s="79"/>
      <c r="M11" s="79"/>
      <c r="N11" s="79"/>
      <c r="O11" s="79" t="s">
        <v>17</v>
      </c>
      <c r="P11" s="79" t="s">
        <v>17</v>
      </c>
      <c r="Q11" s="79" t="s">
        <v>18</v>
      </c>
      <c r="R11" s="79" t="s">
        <v>18</v>
      </c>
      <c r="S11" s="79" t="s">
        <v>19</v>
      </c>
      <c r="T11" s="79"/>
      <c r="U11" s="79"/>
      <c r="V11" s="79"/>
      <c r="W11" s="80">
        <v>16.3</v>
      </c>
      <c r="X11" s="80">
        <v>34.100000000000009</v>
      </c>
      <c r="Y11" s="80">
        <v>35</v>
      </c>
      <c r="Z11" s="77">
        <v>575.16930022573365</v>
      </c>
      <c r="AA11" s="77">
        <v>163.92325056433407</v>
      </c>
    </row>
    <row r="12" spans="1:27" ht="18.5" customHeight="1">
      <c r="A12" s="74" t="s">
        <v>30</v>
      </c>
      <c r="B12" s="74">
        <v>52</v>
      </c>
      <c r="C12" s="75" t="s">
        <v>31</v>
      </c>
      <c r="D12" s="76">
        <v>1143</v>
      </c>
      <c r="E12" s="77">
        <v>3822.7424749163879</v>
      </c>
      <c r="F12" s="77">
        <v>2679.7424749163879</v>
      </c>
      <c r="G12" s="78">
        <v>0.70099999999999996</v>
      </c>
      <c r="H12" s="76">
        <v>1094</v>
      </c>
      <c r="I12" s="76">
        <v>1044.7897623400365</v>
      </c>
      <c r="J12" s="75">
        <v>3</v>
      </c>
      <c r="K12" s="79" t="s">
        <v>19</v>
      </c>
      <c r="L12" s="79" t="s">
        <v>19</v>
      </c>
      <c r="M12" s="79"/>
      <c r="N12" s="79"/>
      <c r="O12" s="79"/>
      <c r="P12" s="79"/>
      <c r="Q12" s="79"/>
      <c r="R12" s="79"/>
      <c r="S12" s="79" t="s">
        <v>17</v>
      </c>
      <c r="T12" s="79" t="s">
        <v>17</v>
      </c>
      <c r="U12" s="79" t="s">
        <v>18</v>
      </c>
      <c r="V12" s="79" t="s">
        <v>18</v>
      </c>
      <c r="W12" s="80">
        <v>82.05</v>
      </c>
      <c r="X12" s="80">
        <v>109.4</v>
      </c>
      <c r="Y12" s="80">
        <v>355.54999999999995</v>
      </c>
      <c r="Z12" s="77">
        <v>1911.3712374581939</v>
      </c>
      <c r="AA12" s="77">
        <v>1339.8712374581939</v>
      </c>
    </row>
    <row r="13" spans="1:27" ht="18.5" customHeight="1">
      <c r="A13" s="74" t="s">
        <v>32</v>
      </c>
      <c r="B13" s="74">
        <v>52</v>
      </c>
      <c r="C13" s="75" t="s">
        <v>31</v>
      </c>
      <c r="D13" s="76">
        <v>1143</v>
      </c>
      <c r="E13" s="77">
        <v>3822.7424749163879</v>
      </c>
      <c r="F13" s="77">
        <v>2679.7424749163879</v>
      </c>
      <c r="G13" s="78">
        <v>0.70099999999999996</v>
      </c>
      <c r="H13" s="76">
        <v>1094</v>
      </c>
      <c r="I13" s="76">
        <v>1044.7897623400365</v>
      </c>
      <c r="J13" s="75">
        <v>3</v>
      </c>
      <c r="K13" s="79" t="s">
        <v>18</v>
      </c>
      <c r="L13" s="79" t="s">
        <v>19</v>
      </c>
      <c r="M13" s="79" t="s">
        <v>19</v>
      </c>
      <c r="N13" s="79"/>
      <c r="O13" s="79"/>
      <c r="P13" s="79"/>
      <c r="Q13" s="79"/>
      <c r="R13" s="79"/>
      <c r="S13" s="79"/>
      <c r="T13" s="79" t="s">
        <v>17</v>
      </c>
      <c r="U13" s="79" t="s">
        <v>17</v>
      </c>
      <c r="V13" s="79" t="s">
        <v>18</v>
      </c>
      <c r="W13" s="80">
        <v>82.05</v>
      </c>
      <c r="X13" s="80">
        <v>109.4</v>
      </c>
      <c r="Y13" s="80">
        <v>355.54999999999995</v>
      </c>
      <c r="Z13" s="77">
        <v>1911.3712374581939</v>
      </c>
      <c r="AA13" s="77">
        <v>1339.8712374581939</v>
      </c>
    </row>
    <row r="14" spans="1:27" ht="18.5" customHeight="1">
      <c r="A14" s="74" t="s">
        <v>33</v>
      </c>
      <c r="B14" s="74">
        <v>52</v>
      </c>
      <c r="C14" s="75" t="s">
        <v>31</v>
      </c>
      <c r="D14" s="76">
        <v>1143</v>
      </c>
      <c r="E14" s="77">
        <v>3822.7424749163879</v>
      </c>
      <c r="F14" s="77">
        <v>2679.7424749163879</v>
      </c>
      <c r="G14" s="78">
        <v>0.70099999999999996</v>
      </c>
      <c r="H14" s="76">
        <v>1094</v>
      </c>
      <c r="I14" s="76">
        <v>1044.7897623400365</v>
      </c>
      <c r="J14" s="75">
        <v>3</v>
      </c>
      <c r="K14" s="79" t="s">
        <v>17</v>
      </c>
      <c r="L14" s="79" t="s">
        <v>18</v>
      </c>
      <c r="M14" s="79" t="s">
        <v>18</v>
      </c>
      <c r="N14" s="79" t="s">
        <v>19</v>
      </c>
      <c r="O14" s="79" t="s">
        <v>19</v>
      </c>
      <c r="P14" s="79"/>
      <c r="Q14" s="79"/>
      <c r="R14" s="79"/>
      <c r="S14" s="79"/>
      <c r="T14" s="79"/>
      <c r="U14" s="79"/>
      <c r="V14" s="79" t="s">
        <v>17</v>
      </c>
      <c r="W14" s="80">
        <v>82.05</v>
      </c>
      <c r="X14" s="80">
        <v>109.4</v>
      </c>
      <c r="Y14" s="80">
        <v>355.54999999999995</v>
      </c>
      <c r="Z14" s="77">
        <v>1911.3712374581939</v>
      </c>
      <c r="AA14" s="77">
        <v>1339.8712374581939</v>
      </c>
    </row>
    <row r="15" spans="1:27" ht="18.5" customHeight="1">
      <c r="A15" s="74" t="s">
        <v>34</v>
      </c>
      <c r="B15" s="74">
        <v>52</v>
      </c>
      <c r="C15" s="75" t="s">
        <v>31</v>
      </c>
      <c r="D15" s="76">
        <v>1143</v>
      </c>
      <c r="E15" s="77">
        <v>3822.7424749163879</v>
      </c>
      <c r="F15" s="77">
        <v>2679.7424749163879</v>
      </c>
      <c r="G15" s="78">
        <v>0.70099999999999996</v>
      </c>
      <c r="H15" s="76">
        <v>1094</v>
      </c>
      <c r="I15" s="76">
        <v>1044.7897623400365</v>
      </c>
      <c r="J15" s="75">
        <v>3</v>
      </c>
      <c r="K15" s="79" t="s">
        <v>17</v>
      </c>
      <c r="L15" s="79" t="s">
        <v>17</v>
      </c>
      <c r="M15" s="79" t="s">
        <v>18</v>
      </c>
      <c r="N15" s="79" t="s">
        <v>18</v>
      </c>
      <c r="O15" s="79" t="s">
        <v>19</v>
      </c>
      <c r="P15" s="79" t="s">
        <v>19</v>
      </c>
      <c r="Q15" s="79"/>
      <c r="R15" s="79"/>
      <c r="S15" s="79"/>
      <c r="T15" s="79"/>
      <c r="U15" s="79"/>
      <c r="V15" s="79"/>
      <c r="W15" s="80">
        <v>82.05</v>
      </c>
      <c r="X15" s="80">
        <v>109.4</v>
      </c>
      <c r="Y15" s="80">
        <v>355.54999999999995</v>
      </c>
      <c r="Z15" s="77">
        <v>1911.3712374581939</v>
      </c>
      <c r="AA15" s="77">
        <v>1339.8712374581939</v>
      </c>
    </row>
    <row r="16" spans="1:27" ht="18.5" customHeight="1">
      <c r="A16" s="74" t="s">
        <v>35</v>
      </c>
      <c r="B16" s="74">
        <v>53</v>
      </c>
      <c r="C16" s="75" t="s">
        <v>36</v>
      </c>
      <c r="D16" s="76">
        <v>87</v>
      </c>
      <c r="E16" s="77">
        <v>383.25991189427316</v>
      </c>
      <c r="F16" s="77">
        <v>296.25991189427316</v>
      </c>
      <c r="G16" s="78">
        <v>0.77300000000000002</v>
      </c>
      <c r="H16" s="76">
        <v>230</v>
      </c>
      <c r="I16" s="76">
        <v>378.26086956521738</v>
      </c>
      <c r="J16" s="75">
        <v>1</v>
      </c>
      <c r="K16" s="79" t="s">
        <v>19</v>
      </c>
      <c r="L16" s="79" t="s">
        <v>19</v>
      </c>
      <c r="M16" s="79"/>
      <c r="N16" s="79"/>
      <c r="O16" s="79"/>
      <c r="P16" s="79"/>
      <c r="Q16" s="79"/>
      <c r="R16" s="79"/>
      <c r="S16" s="79" t="s">
        <v>17</v>
      </c>
      <c r="T16" s="79" t="s">
        <v>18</v>
      </c>
      <c r="U16" s="79" t="s">
        <v>18</v>
      </c>
      <c r="V16" s="79" t="s">
        <v>18</v>
      </c>
      <c r="W16" s="80">
        <v>34.5</v>
      </c>
      <c r="X16" s="80">
        <v>15.333333333333334</v>
      </c>
      <c r="Y16" s="80">
        <v>74.75</v>
      </c>
      <c r="Z16" s="77">
        <v>191.62995594713658</v>
      </c>
      <c r="AA16" s="77">
        <v>296.25991189427316</v>
      </c>
    </row>
    <row r="17" spans="1:27" ht="18.5" customHeight="1">
      <c r="A17" s="74" t="s">
        <v>37</v>
      </c>
      <c r="B17" s="74">
        <v>53</v>
      </c>
      <c r="C17" s="75" t="s">
        <v>36</v>
      </c>
      <c r="D17" s="76">
        <v>87</v>
      </c>
      <c r="E17" s="77">
        <v>383.25991189427316</v>
      </c>
      <c r="F17" s="77">
        <v>296.25991189427316</v>
      </c>
      <c r="G17" s="78">
        <v>0.77300000000000002</v>
      </c>
      <c r="H17" s="76">
        <v>230</v>
      </c>
      <c r="I17" s="76">
        <v>378.26086956521738</v>
      </c>
      <c r="J17" s="75">
        <v>1</v>
      </c>
      <c r="K17" s="79" t="s">
        <v>18</v>
      </c>
      <c r="L17" s="79" t="s">
        <v>19</v>
      </c>
      <c r="M17" s="79" t="s">
        <v>19</v>
      </c>
      <c r="N17" s="79"/>
      <c r="O17" s="79"/>
      <c r="P17" s="79"/>
      <c r="Q17" s="79"/>
      <c r="R17" s="79"/>
      <c r="S17" s="79"/>
      <c r="T17" s="79"/>
      <c r="U17" s="79" t="s">
        <v>17</v>
      </c>
      <c r="V17" s="79" t="s">
        <v>18</v>
      </c>
      <c r="W17" s="80">
        <v>34.5</v>
      </c>
      <c r="X17" s="80">
        <v>23</v>
      </c>
      <c r="Y17" s="80">
        <v>74.75</v>
      </c>
      <c r="Z17" s="77">
        <v>191.62995594713658</v>
      </c>
      <c r="AA17" s="77">
        <v>296.25991189427316</v>
      </c>
    </row>
    <row r="18" spans="1:27" ht="18.5" customHeight="1">
      <c r="A18" s="74" t="s">
        <v>38</v>
      </c>
      <c r="B18" s="74">
        <v>54</v>
      </c>
      <c r="C18" s="75" t="s">
        <v>39</v>
      </c>
      <c r="D18" s="76">
        <v>389</v>
      </c>
      <c r="E18" s="77">
        <v>1691.304347826087</v>
      </c>
      <c r="F18" s="77">
        <v>1302.304347826087</v>
      </c>
      <c r="G18" s="78">
        <v>0.77</v>
      </c>
      <c r="H18" s="76">
        <v>1044</v>
      </c>
      <c r="I18" s="76">
        <v>372.60536398467434</v>
      </c>
      <c r="J18" s="75">
        <v>1</v>
      </c>
      <c r="K18" s="79" t="s">
        <v>19</v>
      </c>
      <c r="L18" s="81" t="s">
        <v>19</v>
      </c>
      <c r="M18" s="81" t="s">
        <v>19</v>
      </c>
      <c r="N18" s="81"/>
      <c r="O18" s="81"/>
      <c r="P18" s="81"/>
      <c r="Q18" s="81"/>
      <c r="R18" s="79"/>
      <c r="S18" s="79"/>
      <c r="T18" s="79" t="s">
        <v>17</v>
      </c>
      <c r="U18" s="79" t="s">
        <v>18</v>
      </c>
      <c r="V18" s="79" t="s">
        <v>18</v>
      </c>
      <c r="W18" s="80">
        <v>156.6</v>
      </c>
      <c r="X18" s="80">
        <v>104.4</v>
      </c>
      <c r="Y18" s="80">
        <v>226.19999999999996</v>
      </c>
      <c r="Z18" s="77">
        <v>563.768115942029</v>
      </c>
      <c r="AA18" s="77">
        <v>1302.304347826087</v>
      </c>
    </row>
    <row r="19" spans="1:27" ht="18.5" customHeight="1">
      <c r="A19" s="74" t="s">
        <v>40</v>
      </c>
      <c r="B19" s="74">
        <v>54</v>
      </c>
      <c r="C19" s="75" t="s">
        <v>39</v>
      </c>
      <c r="D19" s="76">
        <v>389</v>
      </c>
      <c r="E19" s="77">
        <v>1691.304347826087</v>
      </c>
      <c r="F19" s="77">
        <v>1302.304347826087</v>
      </c>
      <c r="G19" s="78">
        <v>0.77</v>
      </c>
      <c r="H19" s="76">
        <v>1044</v>
      </c>
      <c r="I19" s="76">
        <v>372.60536398467434</v>
      </c>
      <c r="J19" s="75">
        <v>1</v>
      </c>
      <c r="K19" s="79" t="s">
        <v>17</v>
      </c>
      <c r="L19" s="81" t="s">
        <v>18</v>
      </c>
      <c r="M19" s="81" t="s">
        <v>19</v>
      </c>
      <c r="N19" s="81" t="s">
        <v>19</v>
      </c>
      <c r="O19" s="81" t="s">
        <v>19</v>
      </c>
      <c r="P19" s="81" t="s">
        <v>19</v>
      </c>
      <c r="Q19" s="81"/>
      <c r="R19" s="79"/>
      <c r="S19" s="79"/>
      <c r="T19" s="79"/>
      <c r="U19" s="79"/>
      <c r="V19" s="79"/>
      <c r="W19" s="80">
        <v>156.6</v>
      </c>
      <c r="X19" s="80">
        <v>208.8</v>
      </c>
      <c r="Y19" s="80">
        <v>169.64999999999998</v>
      </c>
      <c r="Z19" s="77">
        <v>422.82608695652175</v>
      </c>
      <c r="AA19" s="77">
        <v>1302.304347826087</v>
      </c>
    </row>
    <row r="20" spans="1:27" ht="18.5" customHeight="1">
      <c r="A20" s="74" t="s">
        <v>41</v>
      </c>
      <c r="B20" s="74">
        <v>54</v>
      </c>
      <c r="C20" s="75" t="s">
        <v>39</v>
      </c>
      <c r="D20" s="76">
        <v>389</v>
      </c>
      <c r="E20" s="77">
        <v>1691.304347826087</v>
      </c>
      <c r="F20" s="77">
        <v>1302.304347826087</v>
      </c>
      <c r="G20" s="78">
        <v>0.77</v>
      </c>
      <c r="H20" s="76">
        <v>1044</v>
      </c>
      <c r="I20" s="76">
        <v>372.60536398467434</v>
      </c>
      <c r="J20" s="75">
        <v>1</v>
      </c>
      <c r="K20" s="79"/>
      <c r="L20" s="81"/>
      <c r="M20" s="81"/>
      <c r="N20" s="81"/>
      <c r="O20" s="81" t="s">
        <v>17</v>
      </c>
      <c r="P20" s="81" t="s">
        <v>18</v>
      </c>
      <c r="Q20" s="81" t="s">
        <v>19</v>
      </c>
      <c r="R20" s="79" t="s">
        <v>19</v>
      </c>
      <c r="S20" s="79" t="s">
        <v>19</v>
      </c>
      <c r="T20" s="79"/>
      <c r="U20" s="79"/>
      <c r="V20" s="79"/>
      <c r="W20" s="80">
        <v>156.6</v>
      </c>
      <c r="X20" s="80">
        <v>208.8</v>
      </c>
      <c r="Y20" s="80">
        <v>226.19999999999996</v>
      </c>
      <c r="Z20" s="77">
        <v>563.768115942029</v>
      </c>
      <c r="AA20" s="77">
        <v>1302.304347826087</v>
      </c>
    </row>
    <row r="21" spans="1:27" ht="18.5" customHeight="1">
      <c r="A21" s="74" t="s">
        <v>42</v>
      </c>
      <c r="B21" s="74">
        <v>54</v>
      </c>
      <c r="C21" s="75" t="s">
        <v>39</v>
      </c>
      <c r="D21" s="76">
        <v>497.435835</v>
      </c>
      <c r="E21" s="77">
        <v>2162.7645000000002</v>
      </c>
      <c r="F21" s="77">
        <v>1665.3286650000002</v>
      </c>
      <c r="G21" s="78">
        <v>0.77</v>
      </c>
      <c r="H21" s="76">
        <v>1338.2</v>
      </c>
      <c r="I21" s="76">
        <v>371.72009789269168</v>
      </c>
      <c r="J21" s="75">
        <v>1</v>
      </c>
      <c r="K21" s="79" t="s">
        <v>17</v>
      </c>
      <c r="L21" s="81" t="s">
        <v>19</v>
      </c>
      <c r="M21" s="81" t="s">
        <v>19</v>
      </c>
      <c r="N21" s="81" t="s">
        <v>19</v>
      </c>
      <c r="O21" s="81" t="s">
        <v>19</v>
      </c>
      <c r="P21" s="81" t="s">
        <v>19</v>
      </c>
      <c r="Q21" s="81" t="s">
        <v>19</v>
      </c>
      <c r="R21" s="79" t="s">
        <v>19</v>
      </c>
      <c r="S21" s="79"/>
      <c r="T21" s="79"/>
      <c r="U21" s="79" t="s">
        <v>17</v>
      </c>
      <c r="V21" s="79" t="s">
        <v>17</v>
      </c>
      <c r="W21" s="80">
        <v>19.5</v>
      </c>
      <c r="X21" s="80">
        <v>0</v>
      </c>
      <c r="Y21" s="80">
        <v>178</v>
      </c>
      <c r="Z21" s="77">
        <v>308.96635714285719</v>
      </c>
      <c r="AA21" s="77">
        <v>555.10955500000011</v>
      </c>
    </row>
    <row r="22" spans="1:27" ht="18.5" customHeight="1">
      <c r="A22" s="74" t="s">
        <v>43</v>
      </c>
      <c r="B22" s="74">
        <v>54</v>
      </c>
      <c r="C22" s="75" t="s">
        <v>39</v>
      </c>
      <c r="D22" s="76">
        <v>166.26516000000004</v>
      </c>
      <c r="E22" s="77">
        <v>722.89200000000005</v>
      </c>
      <c r="F22" s="77">
        <v>556.62684000000002</v>
      </c>
      <c r="G22" s="78">
        <v>0.77</v>
      </c>
      <c r="H22" s="76">
        <v>276</v>
      </c>
      <c r="I22" s="76">
        <v>602.41000000000008</v>
      </c>
      <c r="J22" s="75">
        <v>1</v>
      </c>
      <c r="K22" s="79" t="s">
        <v>19</v>
      </c>
      <c r="L22" s="81" t="s">
        <v>19</v>
      </c>
      <c r="M22" s="81" t="s">
        <v>19</v>
      </c>
      <c r="N22" s="81" t="s">
        <v>19</v>
      </c>
      <c r="O22" s="81"/>
      <c r="P22" s="81"/>
      <c r="Q22" s="81"/>
      <c r="R22" s="79"/>
      <c r="S22" s="79"/>
      <c r="T22" s="79"/>
      <c r="U22" s="79" t="s">
        <v>17</v>
      </c>
      <c r="V22" s="79" t="s">
        <v>18</v>
      </c>
      <c r="W22" s="80">
        <v>31</v>
      </c>
      <c r="X22" s="80">
        <v>10</v>
      </c>
      <c r="Y22" s="80">
        <v>58</v>
      </c>
      <c r="Z22" s="77">
        <v>180.72300000000001</v>
      </c>
      <c r="AA22" s="77">
        <v>556.62684000000002</v>
      </c>
    </row>
    <row r="23" spans="1:27" ht="18.5" customHeight="1">
      <c r="A23" s="74" t="s">
        <v>44</v>
      </c>
      <c r="B23" s="74">
        <v>54</v>
      </c>
      <c r="C23" s="75" t="s">
        <v>39</v>
      </c>
      <c r="D23" s="76">
        <v>389.31700000000001</v>
      </c>
      <c r="E23" s="77">
        <v>1689</v>
      </c>
      <c r="F23" s="77">
        <v>1299.683</v>
      </c>
      <c r="G23" s="78">
        <v>0.76949851983422146</v>
      </c>
      <c r="H23" s="76">
        <v>1002</v>
      </c>
      <c r="I23" s="76">
        <v>388.53992015968066</v>
      </c>
      <c r="J23" s="75">
        <v>1</v>
      </c>
      <c r="K23" s="79" t="s">
        <v>18</v>
      </c>
      <c r="L23" s="81" t="s">
        <v>19</v>
      </c>
      <c r="M23" s="81" t="s">
        <v>19</v>
      </c>
      <c r="N23" s="81" t="s">
        <v>19</v>
      </c>
      <c r="O23" s="81" t="s">
        <v>19</v>
      </c>
      <c r="P23" s="81" t="s">
        <v>19</v>
      </c>
      <c r="Q23" s="81" t="s">
        <v>19</v>
      </c>
      <c r="R23" s="79" t="s">
        <v>19</v>
      </c>
      <c r="S23" s="79"/>
      <c r="T23" s="79"/>
      <c r="U23" s="79" t="s">
        <v>17</v>
      </c>
      <c r="V23" s="79" t="s">
        <v>17</v>
      </c>
      <c r="W23" s="80">
        <v>48.5</v>
      </c>
      <c r="X23" s="80">
        <v>12.2</v>
      </c>
      <c r="Y23" s="80">
        <v>127.67142857142858</v>
      </c>
      <c r="Z23" s="77">
        <v>241.28571428571428</v>
      </c>
      <c r="AA23" s="77">
        <v>649.8415</v>
      </c>
    </row>
    <row r="24" spans="1:27" ht="18.5" customHeight="1">
      <c r="A24" s="74" t="s">
        <v>45</v>
      </c>
      <c r="B24" s="74">
        <v>54</v>
      </c>
      <c r="C24" s="75" t="s">
        <v>39</v>
      </c>
      <c r="D24" s="76">
        <v>150.3159999999998</v>
      </c>
      <c r="E24" s="77">
        <v>1520.1</v>
      </c>
      <c r="F24" s="77">
        <v>1369.7840000000001</v>
      </c>
      <c r="G24" s="78">
        <v>0.90111440036839696</v>
      </c>
      <c r="H24" s="76">
        <v>1215.2</v>
      </c>
      <c r="I24" s="76">
        <v>123.69651086240931</v>
      </c>
      <c r="J24" s="75">
        <v>1</v>
      </c>
      <c r="K24" s="79" t="s">
        <v>19</v>
      </c>
      <c r="L24" s="81" t="s">
        <v>19</v>
      </c>
      <c r="M24" s="81" t="s">
        <v>19</v>
      </c>
      <c r="N24" s="81" t="s">
        <v>19</v>
      </c>
      <c r="O24" s="81" t="s">
        <v>19</v>
      </c>
      <c r="P24" s="81" t="s">
        <v>19</v>
      </c>
      <c r="Q24" s="81" t="s">
        <v>19</v>
      </c>
      <c r="R24" s="79" t="s">
        <v>19</v>
      </c>
      <c r="S24" s="79"/>
      <c r="T24" s="79" t="s">
        <v>17</v>
      </c>
      <c r="U24" s="79" t="s">
        <v>18</v>
      </c>
      <c r="V24" s="79" t="s">
        <v>18</v>
      </c>
      <c r="W24" s="80">
        <v>53</v>
      </c>
      <c r="X24" s="80">
        <v>23.4</v>
      </c>
      <c r="Y24" s="80">
        <v>142.35</v>
      </c>
      <c r="Z24" s="77">
        <v>190.01249999999999</v>
      </c>
      <c r="AA24" s="77">
        <v>1369.7840000000001</v>
      </c>
    </row>
    <row r="25" spans="1:27" ht="18.5" customHeight="1">
      <c r="A25" s="74" t="s">
        <v>46</v>
      </c>
      <c r="B25" s="74">
        <v>55</v>
      </c>
      <c r="C25" s="75" t="s">
        <v>47</v>
      </c>
      <c r="D25" s="76">
        <v>1205</v>
      </c>
      <c r="E25" s="77">
        <v>2776.4976958525344</v>
      </c>
      <c r="F25" s="77">
        <v>1571.4976958525344</v>
      </c>
      <c r="G25" s="78">
        <v>0.56599999999999995</v>
      </c>
      <c r="H25" s="76">
        <v>1090</v>
      </c>
      <c r="I25" s="76">
        <v>1105.5045871559632</v>
      </c>
      <c r="J25" s="75">
        <v>0</v>
      </c>
      <c r="K25" s="79" t="s">
        <v>17</v>
      </c>
      <c r="L25" s="79" t="s">
        <v>17</v>
      </c>
      <c r="M25" s="79" t="s">
        <v>19</v>
      </c>
      <c r="N25" s="79" t="s">
        <v>19</v>
      </c>
      <c r="O25" s="79" t="s">
        <v>19</v>
      </c>
      <c r="P25" s="79" t="s">
        <v>19</v>
      </c>
      <c r="Q25" s="79"/>
      <c r="R25" s="79"/>
      <c r="S25" s="79"/>
      <c r="T25" s="79"/>
      <c r="U25" s="79"/>
      <c r="V25" s="79"/>
      <c r="W25" s="80">
        <v>81.75</v>
      </c>
      <c r="X25" s="80">
        <v>218</v>
      </c>
      <c r="Y25" s="80">
        <v>231.625</v>
      </c>
      <c r="Z25" s="77">
        <v>694.12442396313361</v>
      </c>
      <c r="AA25" s="77">
        <v>785.74884792626722</v>
      </c>
    </row>
    <row r="26" spans="1:27" ht="18.5" customHeight="1">
      <c r="A26" s="74" t="s">
        <v>48</v>
      </c>
      <c r="B26" s="74">
        <v>55</v>
      </c>
      <c r="C26" s="75" t="s">
        <v>47</v>
      </c>
      <c r="D26" s="76">
        <v>1205</v>
      </c>
      <c r="E26" s="77">
        <v>2776.4976958525344</v>
      </c>
      <c r="F26" s="77">
        <v>1571.4976958525344</v>
      </c>
      <c r="G26" s="78">
        <v>0.56599999999999995</v>
      </c>
      <c r="H26" s="76">
        <v>1090</v>
      </c>
      <c r="I26" s="76">
        <v>1105.5045871559632</v>
      </c>
      <c r="J26" s="75">
        <v>0</v>
      </c>
      <c r="K26" s="79"/>
      <c r="L26" s="79" t="s">
        <v>17</v>
      </c>
      <c r="M26" s="79" t="s">
        <v>17</v>
      </c>
      <c r="N26" s="79" t="s">
        <v>19</v>
      </c>
      <c r="O26" s="79" t="s">
        <v>19</v>
      </c>
      <c r="P26" s="79" t="s">
        <v>19</v>
      </c>
      <c r="Q26" s="79" t="s">
        <v>19</v>
      </c>
      <c r="R26" s="79"/>
      <c r="S26" s="79"/>
      <c r="T26" s="79"/>
      <c r="U26" s="79"/>
      <c r="V26" s="79"/>
      <c r="W26" s="80">
        <v>81.75</v>
      </c>
      <c r="X26" s="80">
        <v>218</v>
      </c>
      <c r="Y26" s="80">
        <v>231.625</v>
      </c>
      <c r="Z26" s="77">
        <v>694.12442396313361</v>
      </c>
      <c r="AA26" s="77">
        <v>785.74884792626722</v>
      </c>
    </row>
    <row r="27" spans="1:27" s="5" customFormat="1" ht="18.5" customHeight="1">
      <c r="A27" s="74" t="s">
        <v>49</v>
      </c>
      <c r="B27" s="74">
        <v>56</v>
      </c>
      <c r="C27" s="75" t="s">
        <v>50</v>
      </c>
      <c r="D27" s="76">
        <v>208</v>
      </c>
      <c r="E27" s="77">
        <v>394.68690702087287</v>
      </c>
      <c r="F27" s="77">
        <v>186.68690702087287</v>
      </c>
      <c r="G27" s="78">
        <v>0.47299999999999998</v>
      </c>
      <c r="H27" s="76">
        <v>129</v>
      </c>
      <c r="I27" s="76">
        <v>1612.4031007751937</v>
      </c>
      <c r="J27" s="75">
        <v>1</v>
      </c>
      <c r="K27" s="79" t="s">
        <v>17</v>
      </c>
      <c r="L27" s="79" t="s">
        <v>18</v>
      </c>
      <c r="M27" s="79" t="s">
        <v>18</v>
      </c>
      <c r="N27" s="79" t="s">
        <v>19</v>
      </c>
      <c r="O27" s="79"/>
      <c r="P27" s="79"/>
      <c r="Q27" s="79"/>
      <c r="R27" s="79"/>
      <c r="S27" s="79"/>
      <c r="T27" s="79"/>
      <c r="U27" s="79"/>
      <c r="V27" s="79" t="s">
        <v>17</v>
      </c>
      <c r="W27" s="80">
        <v>9.6749999999999989</v>
      </c>
      <c r="X27" s="80">
        <v>12.9</v>
      </c>
      <c r="Y27" s="80">
        <v>83.850000000000009</v>
      </c>
      <c r="Z27" s="77">
        <v>394.68690702087287</v>
      </c>
      <c r="AA27" s="77">
        <v>93.343453510436433</v>
      </c>
    </row>
    <row r="28" spans="1:27" s="5" customFormat="1" ht="18.5" customHeight="1">
      <c r="A28" s="74" t="s">
        <v>51</v>
      </c>
      <c r="B28" s="74">
        <v>56</v>
      </c>
      <c r="C28" s="75" t="s">
        <v>50</v>
      </c>
      <c r="D28" s="76">
        <v>208</v>
      </c>
      <c r="E28" s="77">
        <v>394.68690702087287</v>
      </c>
      <c r="F28" s="77">
        <v>186.68690702087287</v>
      </c>
      <c r="G28" s="78">
        <v>0.47299999999999998</v>
      </c>
      <c r="H28" s="76">
        <v>129</v>
      </c>
      <c r="I28" s="76">
        <v>1612.4031007751937</v>
      </c>
      <c r="J28" s="75">
        <v>1</v>
      </c>
      <c r="K28" s="79"/>
      <c r="L28" s="79" t="s">
        <v>17</v>
      </c>
      <c r="M28" s="79" t="s">
        <v>17</v>
      </c>
      <c r="N28" s="79" t="s">
        <v>18</v>
      </c>
      <c r="O28" s="79" t="s">
        <v>19</v>
      </c>
      <c r="P28" s="79"/>
      <c r="Q28" s="79"/>
      <c r="R28" s="79"/>
      <c r="S28" s="79"/>
      <c r="T28" s="79"/>
      <c r="U28" s="79"/>
      <c r="V28" s="79"/>
      <c r="W28" s="80">
        <v>9.6749999999999989</v>
      </c>
      <c r="X28" s="80">
        <v>25.8</v>
      </c>
      <c r="Y28" s="80">
        <v>83.850000000000009</v>
      </c>
      <c r="Z28" s="77">
        <v>394.68690702087287</v>
      </c>
      <c r="AA28" s="77">
        <v>93.343453510436433</v>
      </c>
    </row>
    <row r="29" spans="1:27" s="5" customFormat="1" ht="18.5" customHeight="1">
      <c r="A29" s="74" t="s">
        <v>52</v>
      </c>
      <c r="B29" s="74">
        <v>56</v>
      </c>
      <c r="C29" s="75" t="s">
        <v>50</v>
      </c>
      <c r="D29" s="76">
        <v>208</v>
      </c>
      <c r="E29" s="77">
        <v>394.68690702087287</v>
      </c>
      <c r="F29" s="77">
        <v>186.68690702087287</v>
      </c>
      <c r="G29" s="78">
        <v>0.47299999999999998</v>
      </c>
      <c r="H29" s="76">
        <v>129</v>
      </c>
      <c r="I29" s="76">
        <v>1612.4031007751937</v>
      </c>
      <c r="J29" s="75">
        <v>1</v>
      </c>
      <c r="K29" s="79"/>
      <c r="L29" s="79"/>
      <c r="M29" s="79" t="s">
        <v>17</v>
      </c>
      <c r="N29" s="79" t="s">
        <v>18</v>
      </c>
      <c r="O29" s="79" t="s">
        <v>18</v>
      </c>
      <c r="P29" s="79" t="s">
        <v>19</v>
      </c>
      <c r="Q29" s="79"/>
      <c r="R29" s="79"/>
      <c r="S29" s="79"/>
      <c r="T29" s="79"/>
      <c r="U29" s="79"/>
      <c r="V29" s="79"/>
      <c r="W29" s="80">
        <v>19.349999999999998</v>
      </c>
      <c r="X29" s="80">
        <v>12.9</v>
      </c>
      <c r="Y29" s="80">
        <v>83.850000000000009</v>
      </c>
      <c r="Z29" s="77">
        <v>394.68690702087287</v>
      </c>
      <c r="AA29" s="77">
        <v>186.68690702087287</v>
      </c>
    </row>
    <row r="30" spans="1:27" s="5" customFormat="1" ht="18.5" customHeight="1">
      <c r="A30" s="74" t="s">
        <v>53</v>
      </c>
      <c r="B30" s="74">
        <v>56</v>
      </c>
      <c r="C30" s="75" t="s">
        <v>50</v>
      </c>
      <c r="D30" s="76">
        <v>208</v>
      </c>
      <c r="E30" s="77">
        <v>394.68690702087287</v>
      </c>
      <c r="F30" s="77">
        <v>186.68690702087287</v>
      </c>
      <c r="G30" s="78">
        <v>0.47299999999999998</v>
      </c>
      <c r="H30" s="76">
        <v>129</v>
      </c>
      <c r="I30" s="76">
        <v>1612.4031007751937</v>
      </c>
      <c r="J30" s="75">
        <v>1</v>
      </c>
      <c r="K30" s="79"/>
      <c r="L30" s="79"/>
      <c r="M30" s="79"/>
      <c r="N30" s="79"/>
      <c r="O30" s="79" t="s">
        <v>17</v>
      </c>
      <c r="P30" s="79" t="s">
        <v>18</v>
      </c>
      <c r="Q30" s="79" t="s">
        <v>18</v>
      </c>
      <c r="R30" s="79" t="s">
        <v>19</v>
      </c>
      <c r="S30" s="79"/>
      <c r="T30" s="79"/>
      <c r="U30" s="79"/>
      <c r="V30" s="79"/>
      <c r="W30" s="80">
        <v>19.349999999999998</v>
      </c>
      <c r="X30" s="80">
        <v>12.9</v>
      </c>
      <c r="Y30" s="80">
        <v>83.850000000000009</v>
      </c>
      <c r="Z30" s="77">
        <v>394.68690702087287</v>
      </c>
      <c r="AA30" s="77">
        <v>186.68690702087287</v>
      </c>
    </row>
    <row r="31" spans="1:27" s="5" customFormat="1" ht="18.5" customHeight="1">
      <c r="A31" s="74" t="s">
        <v>54</v>
      </c>
      <c r="B31" s="74">
        <v>56</v>
      </c>
      <c r="C31" s="75" t="s">
        <v>50</v>
      </c>
      <c r="D31" s="76">
        <v>208</v>
      </c>
      <c r="E31" s="77">
        <v>394.68690702087287</v>
      </c>
      <c r="F31" s="77">
        <v>186.68690702087287</v>
      </c>
      <c r="G31" s="78">
        <v>0.47299999999999998</v>
      </c>
      <c r="H31" s="76">
        <v>129</v>
      </c>
      <c r="I31" s="76">
        <v>1612.4031007751937</v>
      </c>
      <c r="J31" s="75">
        <v>1</v>
      </c>
      <c r="K31" s="79"/>
      <c r="L31" s="79"/>
      <c r="M31" s="79"/>
      <c r="N31" s="79"/>
      <c r="O31" s="79"/>
      <c r="P31" s="79" t="s">
        <v>17</v>
      </c>
      <c r="Q31" s="79" t="s">
        <v>17</v>
      </c>
      <c r="R31" s="79" t="s">
        <v>18</v>
      </c>
      <c r="S31" s="79" t="s">
        <v>19</v>
      </c>
      <c r="T31" s="79"/>
      <c r="U31" s="79"/>
      <c r="V31" s="79"/>
      <c r="W31" s="80">
        <v>9.6749999999999989</v>
      </c>
      <c r="X31" s="80">
        <v>25.8</v>
      </c>
      <c r="Y31" s="80">
        <v>83.850000000000009</v>
      </c>
      <c r="Z31" s="77">
        <v>394.68690702087287</v>
      </c>
      <c r="AA31" s="77">
        <v>93.343453510436433</v>
      </c>
    </row>
    <row r="32" spans="1:27" s="5" customFormat="1" ht="18.5" customHeight="1">
      <c r="A32" s="74" t="s">
        <v>55</v>
      </c>
      <c r="B32" s="74">
        <v>56</v>
      </c>
      <c r="C32" s="75" t="s">
        <v>50</v>
      </c>
      <c r="D32" s="76">
        <v>208</v>
      </c>
      <c r="E32" s="77">
        <v>394.68690702087287</v>
      </c>
      <c r="F32" s="77">
        <v>186.68690702087287</v>
      </c>
      <c r="G32" s="78">
        <v>0.47299999999999998</v>
      </c>
      <c r="H32" s="76">
        <v>129</v>
      </c>
      <c r="I32" s="76">
        <v>1612.4031007751937</v>
      </c>
      <c r="J32" s="75">
        <v>1</v>
      </c>
      <c r="K32" s="79"/>
      <c r="L32" s="79"/>
      <c r="M32" s="79"/>
      <c r="N32" s="79"/>
      <c r="O32" s="79"/>
      <c r="P32" s="79"/>
      <c r="Q32" s="79"/>
      <c r="R32" s="79" t="s">
        <v>17</v>
      </c>
      <c r="S32" s="79" t="s">
        <v>17</v>
      </c>
      <c r="T32" s="79" t="s">
        <v>18</v>
      </c>
      <c r="U32" s="79" t="s">
        <v>18</v>
      </c>
      <c r="V32" s="79" t="s">
        <v>19</v>
      </c>
      <c r="W32" s="80">
        <v>9.6749999999999989</v>
      </c>
      <c r="X32" s="80">
        <v>12.9</v>
      </c>
      <c r="Y32" s="80">
        <v>83.850000000000009</v>
      </c>
      <c r="Z32" s="77">
        <v>394.68690702087287</v>
      </c>
      <c r="AA32" s="77">
        <v>93.343453510436433</v>
      </c>
    </row>
    <row r="33" spans="1:27" s="5" customFormat="1" ht="18.5" customHeight="1">
      <c r="A33" s="74" t="s">
        <v>56</v>
      </c>
      <c r="B33" s="74">
        <v>56</v>
      </c>
      <c r="C33" s="75" t="s">
        <v>50</v>
      </c>
      <c r="D33" s="76">
        <v>208</v>
      </c>
      <c r="E33" s="77">
        <v>394.68690702087287</v>
      </c>
      <c r="F33" s="77">
        <v>186.68690702087287</v>
      </c>
      <c r="G33" s="78">
        <v>0.47299999999999998</v>
      </c>
      <c r="H33" s="76">
        <v>129</v>
      </c>
      <c r="I33" s="76">
        <v>1612.4031007751937</v>
      </c>
      <c r="J33" s="75">
        <v>1</v>
      </c>
      <c r="K33" s="79" t="s">
        <v>18</v>
      </c>
      <c r="L33" s="79" t="s">
        <v>18</v>
      </c>
      <c r="M33" s="79" t="s">
        <v>19</v>
      </c>
      <c r="N33" s="79"/>
      <c r="O33" s="79"/>
      <c r="P33" s="79"/>
      <c r="Q33" s="79"/>
      <c r="R33" s="79"/>
      <c r="S33" s="79"/>
      <c r="T33" s="79"/>
      <c r="U33" s="79" t="s">
        <v>17</v>
      </c>
      <c r="V33" s="79" t="s">
        <v>17</v>
      </c>
      <c r="W33" s="80">
        <v>9.6749999999999989</v>
      </c>
      <c r="X33" s="80">
        <v>12.9</v>
      </c>
      <c r="Y33" s="80">
        <v>83.850000000000009</v>
      </c>
      <c r="Z33" s="77">
        <v>394.68690702087287</v>
      </c>
      <c r="AA33" s="77">
        <v>93.343453510436433</v>
      </c>
    </row>
    <row r="34" spans="1:27" ht="18.5" customHeight="1">
      <c r="A34" s="74" t="s">
        <v>57</v>
      </c>
      <c r="B34" s="74">
        <v>57</v>
      </c>
      <c r="C34" s="75" t="s">
        <v>58</v>
      </c>
      <c r="D34" s="76">
        <v>407</v>
      </c>
      <c r="E34" s="77">
        <v>1100</v>
      </c>
      <c r="F34" s="77">
        <v>693</v>
      </c>
      <c r="G34" s="78">
        <v>0.63</v>
      </c>
      <c r="H34" s="76">
        <v>377</v>
      </c>
      <c r="I34" s="76">
        <v>1079.575596816976</v>
      </c>
      <c r="J34" s="75">
        <v>1</v>
      </c>
      <c r="K34" s="79" t="s">
        <v>19</v>
      </c>
      <c r="L34" s="79"/>
      <c r="M34" s="79"/>
      <c r="N34" s="79"/>
      <c r="O34" s="79"/>
      <c r="P34" s="79"/>
      <c r="Q34" s="79"/>
      <c r="R34" s="79"/>
      <c r="S34" s="79" t="s">
        <v>17</v>
      </c>
      <c r="T34" s="79" t="s">
        <v>17</v>
      </c>
      <c r="U34" s="79" t="s">
        <v>18</v>
      </c>
      <c r="V34" s="79" t="s">
        <v>19</v>
      </c>
      <c r="W34" s="80">
        <v>28.274999999999999</v>
      </c>
      <c r="X34" s="80">
        <v>75.400000000000006</v>
      </c>
      <c r="Y34" s="80">
        <v>122.52499999999999</v>
      </c>
      <c r="Z34" s="77">
        <v>550</v>
      </c>
      <c r="AA34" s="77">
        <v>346.5</v>
      </c>
    </row>
    <row r="35" spans="1:27" ht="18.5" customHeight="1">
      <c r="A35" s="74" t="s">
        <v>59</v>
      </c>
      <c r="B35" s="74">
        <v>57</v>
      </c>
      <c r="C35" s="75" t="s">
        <v>58</v>
      </c>
      <c r="D35" s="76">
        <v>407</v>
      </c>
      <c r="E35" s="77">
        <v>1100</v>
      </c>
      <c r="F35" s="77">
        <v>693</v>
      </c>
      <c r="G35" s="78">
        <v>0.63</v>
      </c>
      <c r="H35" s="76">
        <v>377</v>
      </c>
      <c r="I35" s="76">
        <v>1079.575596816976</v>
      </c>
      <c r="J35" s="75">
        <v>1</v>
      </c>
      <c r="K35" s="79" t="s">
        <v>19</v>
      </c>
      <c r="L35" s="79" t="s">
        <v>19</v>
      </c>
      <c r="M35" s="79"/>
      <c r="N35" s="79"/>
      <c r="O35" s="79"/>
      <c r="P35" s="79"/>
      <c r="Q35" s="79"/>
      <c r="R35" s="79"/>
      <c r="S35" s="79"/>
      <c r="T35" s="79" t="s">
        <v>17</v>
      </c>
      <c r="U35" s="79" t="s">
        <v>17</v>
      </c>
      <c r="V35" s="79" t="s">
        <v>18</v>
      </c>
      <c r="W35" s="80">
        <v>28.274999999999999</v>
      </c>
      <c r="X35" s="80">
        <v>75.400000000000006</v>
      </c>
      <c r="Y35" s="80">
        <v>122.52499999999999</v>
      </c>
      <c r="Z35" s="77">
        <v>550</v>
      </c>
      <c r="AA35" s="77">
        <v>346.5</v>
      </c>
    </row>
    <row r="36" spans="1:27" ht="18.5" customHeight="1">
      <c r="A36" s="74" t="s">
        <v>60</v>
      </c>
      <c r="B36" s="74">
        <v>57</v>
      </c>
      <c r="C36" s="75" t="s">
        <v>58</v>
      </c>
      <c r="D36" s="76">
        <v>407</v>
      </c>
      <c r="E36" s="77">
        <v>1100</v>
      </c>
      <c r="F36" s="77">
        <v>693</v>
      </c>
      <c r="G36" s="78">
        <v>0.63</v>
      </c>
      <c r="H36" s="76">
        <v>377</v>
      </c>
      <c r="I36" s="76">
        <v>1079.575596816976</v>
      </c>
      <c r="J36" s="75">
        <v>1</v>
      </c>
      <c r="K36" s="79"/>
      <c r="L36" s="79"/>
      <c r="M36" s="79"/>
      <c r="N36" s="79"/>
      <c r="O36" s="79" t="s">
        <v>17</v>
      </c>
      <c r="P36" s="79" t="s">
        <v>18</v>
      </c>
      <c r="Q36" s="79" t="s">
        <v>19</v>
      </c>
      <c r="R36" s="79" t="s">
        <v>19</v>
      </c>
      <c r="S36" s="79"/>
      <c r="T36" s="79"/>
      <c r="U36" s="79"/>
      <c r="V36" s="79"/>
      <c r="W36" s="80">
        <v>56.55</v>
      </c>
      <c r="X36" s="80">
        <v>75.400000000000006</v>
      </c>
      <c r="Y36" s="80">
        <v>122.52499999999999</v>
      </c>
      <c r="Z36" s="77">
        <v>550</v>
      </c>
      <c r="AA36" s="77">
        <v>693</v>
      </c>
    </row>
    <row r="37" spans="1:27" ht="18.5" customHeight="1">
      <c r="A37" s="74" t="s">
        <v>61</v>
      </c>
      <c r="B37" s="74">
        <v>57</v>
      </c>
      <c r="C37" s="75" t="s">
        <v>58</v>
      </c>
      <c r="D37" s="76">
        <v>407</v>
      </c>
      <c r="E37" s="77">
        <v>1100</v>
      </c>
      <c r="F37" s="77">
        <v>693</v>
      </c>
      <c r="G37" s="78">
        <v>0.63</v>
      </c>
      <c r="H37" s="76">
        <v>377</v>
      </c>
      <c r="I37" s="76">
        <v>1079.575596816976</v>
      </c>
      <c r="J37" s="75">
        <v>1</v>
      </c>
      <c r="K37" s="79"/>
      <c r="L37" s="79"/>
      <c r="M37" s="79"/>
      <c r="N37" s="79"/>
      <c r="O37" s="79"/>
      <c r="P37" s="79"/>
      <c r="Q37" s="79" t="s">
        <v>17</v>
      </c>
      <c r="R37" s="79" t="s">
        <v>18</v>
      </c>
      <c r="S37" s="79" t="s">
        <v>19</v>
      </c>
      <c r="T37" s="79" t="s">
        <v>19</v>
      </c>
      <c r="U37" s="79"/>
      <c r="V37" s="79"/>
      <c r="W37" s="80">
        <v>56.55</v>
      </c>
      <c r="X37" s="80">
        <v>75.400000000000006</v>
      </c>
      <c r="Y37" s="80">
        <v>122.52499999999999</v>
      </c>
      <c r="Z37" s="77">
        <v>550</v>
      </c>
      <c r="AA37" s="77">
        <v>693</v>
      </c>
    </row>
    <row r="38" spans="1:27" ht="18.5" customHeight="1">
      <c r="A38" s="74" t="s">
        <v>62</v>
      </c>
      <c r="B38" s="74">
        <v>57</v>
      </c>
      <c r="C38" s="75" t="s">
        <v>58</v>
      </c>
      <c r="D38" s="76">
        <v>407</v>
      </c>
      <c r="E38" s="77">
        <v>1100</v>
      </c>
      <c r="F38" s="77">
        <v>693</v>
      </c>
      <c r="G38" s="78">
        <v>0.63</v>
      </c>
      <c r="H38" s="76">
        <v>377</v>
      </c>
      <c r="I38" s="76">
        <v>1079.575596816976</v>
      </c>
      <c r="J38" s="75">
        <v>1</v>
      </c>
      <c r="K38" s="79"/>
      <c r="L38" s="79"/>
      <c r="M38" s="79"/>
      <c r="N38" s="79"/>
      <c r="O38" s="79"/>
      <c r="P38" s="79"/>
      <c r="Q38" s="79"/>
      <c r="R38" s="79" t="s">
        <v>17</v>
      </c>
      <c r="S38" s="79" t="s">
        <v>18</v>
      </c>
      <c r="T38" s="79" t="s">
        <v>18</v>
      </c>
      <c r="U38" s="79" t="s">
        <v>19</v>
      </c>
      <c r="V38" s="79" t="s">
        <v>19</v>
      </c>
      <c r="W38" s="80">
        <v>56.55</v>
      </c>
      <c r="X38" s="80">
        <v>37.700000000000003</v>
      </c>
      <c r="Y38" s="80">
        <v>122.52499999999999</v>
      </c>
      <c r="Z38" s="77">
        <v>550</v>
      </c>
      <c r="AA38" s="77">
        <v>693</v>
      </c>
    </row>
    <row r="39" spans="1:27" ht="18.5" customHeight="1">
      <c r="A39" s="74" t="s">
        <v>63</v>
      </c>
      <c r="B39" s="74">
        <v>58</v>
      </c>
      <c r="C39" s="75" t="s">
        <v>64</v>
      </c>
      <c r="D39" s="76">
        <v>12</v>
      </c>
      <c r="E39" s="77">
        <v>300</v>
      </c>
      <c r="F39" s="77">
        <v>288</v>
      </c>
      <c r="G39" s="78">
        <v>0.96</v>
      </c>
      <c r="H39" s="76">
        <v>72</v>
      </c>
      <c r="I39" s="76">
        <v>166.66666666666666</v>
      </c>
      <c r="J39" s="75">
        <v>3</v>
      </c>
      <c r="K39" s="79"/>
      <c r="L39" s="79"/>
      <c r="M39" s="79"/>
      <c r="N39" s="79"/>
      <c r="O39" s="79"/>
      <c r="P39" s="79" t="s">
        <v>17</v>
      </c>
      <c r="Q39" s="79" t="s">
        <v>18</v>
      </c>
      <c r="R39" s="79" t="s">
        <v>18</v>
      </c>
      <c r="S39" s="79" t="s">
        <v>18</v>
      </c>
      <c r="T39" s="79" t="s">
        <v>19</v>
      </c>
      <c r="U39" s="79"/>
      <c r="V39" s="79"/>
      <c r="W39" s="80">
        <v>10.799999999999999</v>
      </c>
      <c r="X39" s="80">
        <v>4.8</v>
      </c>
      <c r="Y39" s="80">
        <v>46.800000000000004</v>
      </c>
      <c r="Z39" s="77">
        <v>300</v>
      </c>
      <c r="AA39" s="77">
        <v>288</v>
      </c>
    </row>
    <row r="40" spans="1:27" ht="18.5" customHeight="1">
      <c r="A40" s="74" t="s">
        <v>65</v>
      </c>
      <c r="B40" s="74">
        <v>58</v>
      </c>
      <c r="C40" s="75" t="s">
        <v>64</v>
      </c>
      <c r="D40" s="76">
        <v>12</v>
      </c>
      <c r="E40" s="77">
        <v>300</v>
      </c>
      <c r="F40" s="77">
        <v>288</v>
      </c>
      <c r="G40" s="78">
        <v>0.96</v>
      </c>
      <c r="H40" s="76">
        <v>72</v>
      </c>
      <c r="I40" s="76">
        <v>166.66666666666666</v>
      </c>
      <c r="J40" s="75">
        <v>3</v>
      </c>
      <c r="K40" s="79"/>
      <c r="L40" s="79"/>
      <c r="M40" s="79"/>
      <c r="N40" s="79"/>
      <c r="O40" s="79"/>
      <c r="P40" s="79"/>
      <c r="Q40" s="79"/>
      <c r="R40" s="79" t="s">
        <v>17</v>
      </c>
      <c r="S40" s="79" t="s">
        <v>18</v>
      </c>
      <c r="T40" s="79" t="s">
        <v>18</v>
      </c>
      <c r="U40" s="79" t="s">
        <v>18</v>
      </c>
      <c r="V40" s="79" t="s">
        <v>19</v>
      </c>
      <c r="W40" s="80">
        <v>10.799999999999999</v>
      </c>
      <c r="X40" s="80">
        <v>4.8</v>
      </c>
      <c r="Y40" s="80">
        <v>46.800000000000004</v>
      </c>
      <c r="Z40" s="77">
        <v>300</v>
      </c>
      <c r="AA40" s="77">
        <v>288</v>
      </c>
    </row>
    <row r="41" spans="1:27" ht="18.5" customHeight="1">
      <c r="A41" s="74" t="s">
        <v>66</v>
      </c>
      <c r="B41" s="74">
        <v>58</v>
      </c>
      <c r="C41" s="75" t="s">
        <v>64</v>
      </c>
      <c r="D41" s="76">
        <v>11.879999999999995</v>
      </c>
      <c r="E41" s="77">
        <v>297</v>
      </c>
      <c r="F41" s="77">
        <v>285.12</v>
      </c>
      <c r="G41" s="78">
        <v>0.96</v>
      </c>
      <c r="H41" s="76">
        <v>36.1</v>
      </c>
      <c r="I41" s="76">
        <v>329.08587257617717</v>
      </c>
      <c r="J41" s="75">
        <v>3</v>
      </c>
      <c r="K41" s="79"/>
      <c r="L41" s="79"/>
      <c r="M41" s="79"/>
      <c r="N41" s="79"/>
      <c r="O41" s="79"/>
      <c r="P41" s="79"/>
      <c r="Q41" s="79"/>
      <c r="R41" s="79" t="s">
        <v>17</v>
      </c>
      <c r="S41" s="79" t="s">
        <v>18</v>
      </c>
      <c r="T41" s="79" t="s">
        <v>18</v>
      </c>
      <c r="U41" s="79" t="s">
        <v>19</v>
      </c>
      <c r="V41" s="79"/>
      <c r="W41" s="80">
        <v>11.1</v>
      </c>
      <c r="X41" s="80">
        <v>0</v>
      </c>
      <c r="Y41" s="80">
        <v>25</v>
      </c>
      <c r="Z41" s="77">
        <v>297</v>
      </c>
      <c r="AA41" s="77">
        <v>285.12</v>
      </c>
    </row>
    <row r="42" spans="1:27" ht="18.5" customHeight="1">
      <c r="A42" s="74" t="s">
        <v>67</v>
      </c>
      <c r="B42" s="74">
        <v>59</v>
      </c>
      <c r="C42" s="75" t="s">
        <v>68</v>
      </c>
      <c r="D42" s="76">
        <v>221</v>
      </c>
      <c r="E42" s="77">
        <v>398.91696750902531</v>
      </c>
      <c r="F42" s="77">
        <v>177.91696750902531</v>
      </c>
      <c r="G42" s="78">
        <v>0.44600000000000006</v>
      </c>
      <c r="H42" s="76">
        <v>212</v>
      </c>
      <c r="I42" s="76">
        <v>1042.4528301886792</v>
      </c>
      <c r="J42" s="75">
        <v>1</v>
      </c>
      <c r="K42" s="79" t="s">
        <v>19</v>
      </c>
      <c r="L42" s="79" t="s">
        <v>19</v>
      </c>
      <c r="M42" s="79"/>
      <c r="N42" s="79"/>
      <c r="O42" s="79"/>
      <c r="P42" s="79"/>
      <c r="Q42" s="79"/>
      <c r="R42" s="79"/>
      <c r="S42" s="79"/>
      <c r="T42" s="79"/>
      <c r="U42" s="79" t="s">
        <v>17</v>
      </c>
      <c r="V42" s="79" t="s">
        <v>18</v>
      </c>
      <c r="W42" s="80">
        <v>31.799999999999997</v>
      </c>
      <c r="X42" s="80">
        <v>42.400000000000006</v>
      </c>
      <c r="Y42" s="80">
        <v>68.899999999999991</v>
      </c>
      <c r="Z42" s="77">
        <v>199.45848375451266</v>
      </c>
      <c r="AA42" s="77">
        <v>177.91696750902531</v>
      </c>
    </row>
    <row r="43" spans="1:27" ht="18.5" customHeight="1">
      <c r="A43" s="74" t="s">
        <v>69</v>
      </c>
      <c r="B43" s="74">
        <v>59</v>
      </c>
      <c r="C43" s="75" t="s">
        <v>68</v>
      </c>
      <c r="D43" s="76">
        <v>221</v>
      </c>
      <c r="E43" s="77">
        <v>398.91696750902531</v>
      </c>
      <c r="F43" s="77">
        <v>177.91696750902531</v>
      </c>
      <c r="G43" s="78">
        <v>0.44600000000000006</v>
      </c>
      <c r="H43" s="76">
        <v>212</v>
      </c>
      <c r="I43" s="76">
        <v>1042.4528301886792</v>
      </c>
      <c r="J43" s="75">
        <v>1</v>
      </c>
      <c r="K43" s="79" t="s">
        <v>18</v>
      </c>
      <c r="L43" s="79" t="s">
        <v>19</v>
      </c>
      <c r="M43" s="79" t="s">
        <v>19</v>
      </c>
      <c r="N43" s="79"/>
      <c r="O43" s="79"/>
      <c r="P43" s="79"/>
      <c r="Q43" s="79"/>
      <c r="R43" s="79"/>
      <c r="S43" s="79"/>
      <c r="T43" s="79"/>
      <c r="U43" s="79"/>
      <c r="V43" s="79" t="s">
        <v>17</v>
      </c>
      <c r="W43" s="80">
        <v>31.799999999999997</v>
      </c>
      <c r="X43" s="80">
        <v>42.400000000000006</v>
      </c>
      <c r="Y43" s="80">
        <v>68.899999999999991</v>
      </c>
      <c r="Z43" s="77">
        <v>199.45848375451266</v>
      </c>
      <c r="AA43" s="77">
        <v>177.91696750902531</v>
      </c>
    </row>
    <row r="44" spans="1:27" ht="18.5" customHeight="1">
      <c r="A44" s="74" t="s">
        <v>70</v>
      </c>
      <c r="B44" s="74">
        <v>59</v>
      </c>
      <c r="C44" s="75" t="s">
        <v>68</v>
      </c>
      <c r="D44" s="76">
        <v>221</v>
      </c>
      <c r="E44" s="77">
        <v>398.91696750902531</v>
      </c>
      <c r="F44" s="77">
        <v>177.91696750902531</v>
      </c>
      <c r="G44" s="78">
        <v>0.44600000000000006</v>
      </c>
      <c r="H44" s="76">
        <v>212</v>
      </c>
      <c r="I44" s="76">
        <v>1042.4528301886792</v>
      </c>
      <c r="J44" s="75">
        <v>1</v>
      </c>
      <c r="K44" s="79"/>
      <c r="L44" s="79"/>
      <c r="M44" s="79"/>
      <c r="N44" s="79"/>
      <c r="O44" s="79"/>
      <c r="P44" s="79"/>
      <c r="Q44" s="79" t="s">
        <v>17</v>
      </c>
      <c r="R44" s="79" t="s">
        <v>18</v>
      </c>
      <c r="S44" s="79" t="s">
        <v>19</v>
      </c>
      <c r="T44" s="79" t="s">
        <v>19</v>
      </c>
      <c r="U44" s="79"/>
      <c r="V44" s="79"/>
      <c r="W44" s="80">
        <v>31.799999999999997</v>
      </c>
      <c r="X44" s="80">
        <v>42.400000000000006</v>
      </c>
      <c r="Y44" s="80">
        <v>68.899999999999991</v>
      </c>
      <c r="Z44" s="77">
        <v>199.45848375451266</v>
      </c>
      <c r="AA44" s="77">
        <v>177.91696750902531</v>
      </c>
    </row>
    <row r="45" spans="1:27" ht="18.5" customHeight="1">
      <c r="A45" s="74" t="s">
        <v>71</v>
      </c>
      <c r="B45" s="74">
        <v>59</v>
      </c>
      <c r="C45" s="75" t="s">
        <v>68</v>
      </c>
      <c r="D45" s="76">
        <v>221</v>
      </c>
      <c r="E45" s="77">
        <v>398.91696750902531</v>
      </c>
      <c r="F45" s="77">
        <v>177.91696750902531</v>
      </c>
      <c r="G45" s="78">
        <v>0.44600000000000006</v>
      </c>
      <c r="H45" s="76">
        <v>212</v>
      </c>
      <c r="I45" s="76">
        <v>1042.4528301886792</v>
      </c>
      <c r="J45" s="75">
        <v>1</v>
      </c>
      <c r="K45" s="79"/>
      <c r="L45" s="79"/>
      <c r="M45" s="79"/>
      <c r="N45" s="79"/>
      <c r="O45" s="79"/>
      <c r="P45" s="79"/>
      <c r="Q45" s="79"/>
      <c r="R45" s="79"/>
      <c r="S45" s="79" t="s">
        <v>17</v>
      </c>
      <c r="T45" s="79" t="s">
        <v>18</v>
      </c>
      <c r="U45" s="79" t="s">
        <v>19</v>
      </c>
      <c r="V45" s="79" t="s">
        <v>19</v>
      </c>
      <c r="W45" s="80">
        <v>31.799999999999997</v>
      </c>
      <c r="X45" s="80">
        <v>42.400000000000006</v>
      </c>
      <c r="Y45" s="80">
        <v>68.899999999999991</v>
      </c>
      <c r="Z45" s="77">
        <v>199.45848375451266</v>
      </c>
      <c r="AA45" s="77">
        <v>177.91696750902531</v>
      </c>
    </row>
    <row r="46" spans="1:27" ht="18.5" customHeight="1">
      <c r="A46" s="74" t="s">
        <v>72</v>
      </c>
      <c r="B46" s="74">
        <v>59</v>
      </c>
      <c r="C46" s="75" t="s">
        <v>68</v>
      </c>
      <c r="D46" s="76">
        <v>219.89939024390247</v>
      </c>
      <c r="E46" s="77">
        <v>399.81707317073176</v>
      </c>
      <c r="F46" s="77">
        <v>179.91768292682929</v>
      </c>
      <c r="G46" s="78">
        <v>0.45</v>
      </c>
      <c r="H46" s="76">
        <v>212</v>
      </c>
      <c r="I46" s="76">
        <v>1037.2612747353892</v>
      </c>
      <c r="J46" s="75">
        <v>1</v>
      </c>
      <c r="K46" s="79"/>
      <c r="L46" s="79"/>
      <c r="M46" s="79"/>
      <c r="N46" s="79"/>
      <c r="O46" s="79"/>
      <c r="P46" s="79"/>
      <c r="Q46" s="79"/>
      <c r="R46" s="79"/>
      <c r="S46" s="79" t="s">
        <v>17</v>
      </c>
      <c r="T46" s="79" t="s">
        <v>17</v>
      </c>
      <c r="U46" s="79" t="s">
        <v>18</v>
      </c>
      <c r="V46" s="79" t="s">
        <v>19</v>
      </c>
      <c r="W46" s="82">
        <v>31</v>
      </c>
      <c r="X46" s="80">
        <v>18</v>
      </c>
      <c r="Y46" s="80">
        <v>132</v>
      </c>
      <c r="Z46" s="77">
        <v>399.81707317073176</v>
      </c>
      <c r="AA46" s="77">
        <v>89.958841463414643</v>
      </c>
    </row>
    <row r="47" spans="1:27" ht="18.5" customHeight="1">
      <c r="A47" s="74" t="s">
        <v>73</v>
      </c>
      <c r="B47" s="74">
        <v>60</v>
      </c>
      <c r="C47" s="75" t="s">
        <v>74</v>
      </c>
      <c r="D47" s="76">
        <v>67</v>
      </c>
      <c r="E47" s="77">
        <v>320.57416267942585</v>
      </c>
      <c r="F47" s="77">
        <v>253.57416267942585</v>
      </c>
      <c r="G47" s="78">
        <v>0.79100000000000004</v>
      </c>
      <c r="H47" s="76">
        <v>254</v>
      </c>
      <c r="I47" s="76">
        <v>263.77952755905511</v>
      </c>
      <c r="J47" s="75">
        <v>1</v>
      </c>
      <c r="K47" s="79" t="s">
        <v>18</v>
      </c>
      <c r="L47" s="79" t="s">
        <v>19</v>
      </c>
      <c r="M47" s="79" t="s">
        <v>19</v>
      </c>
      <c r="N47" s="79" t="s">
        <v>19</v>
      </c>
      <c r="O47" s="79"/>
      <c r="P47" s="79"/>
      <c r="Q47" s="79"/>
      <c r="R47" s="79"/>
      <c r="S47" s="79"/>
      <c r="T47" s="79"/>
      <c r="U47" s="79" t="s">
        <v>17</v>
      </c>
      <c r="V47" s="79" t="s">
        <v>17</v>
      </c>
      <c r="W47" s="80">
        <v>19.05</v>
      </c>
      <c r="X47" s="80">
        <v>50.800000000000004</v>
      </c>
      <c r="Y47" s="80">
        <v>55.033333333333331</v>
      </c>
      <c r="Z47" s="77">
        <v>106.85805422647529</v>
      </c>
      <c r="AA47" s="77">
        <v>126.78708133971293</v>
      </c>
    </row>
    <row r="48" spans="1:27" ht="18.5" customHeight="1">
      <c r="A48" s="74" t="s">
        <v>75</v>
      </c>
      <c r="B48" s="74">
        <v>60</v>
      </c>
      <c r="C48" s="75" t="s">
        <v>74</v>
      </c>
      <c r="D48" s="76">
        <v>67</v>
      </c>
      <c r="E48" s="77">
        <v>320.57416267942585</v>
      </c>
      <c r="F48" s="77">
        <v>253.57416267942585</v>
      </c>
      <c r="G48" s="78">
        <v>0.79100000000000004</v>
      </c>
      <c r="H48" s="76">
        <v>254</v>
      </c>
      <c r="I48" s="76">
        <v>263.77952755905511</v>
      </c>
      <c r="J48" s="75">
        <v>1</v>
      </c>
      <c r="K48" s="79"/>
      <c r="L48" s="79"/>
      <c r="M48" s="79"/>
      <c r="N48" s="79"/>
      <c r="O48" s="79" t="s">
        <v>17</v>
      </c>
      <c r="P48" s="79" t="s">
        <v>18</v>
      </c>
      <c r="Q48" s="79" t="s">
        <v>18</v>
      </c>
      <c r="R48" s="79" t="s">
        <v>18</v>
      </c>
      <c r="S48" s="79" t="s">
        <v>19</v>
      </c>
      <c r="T48" s="79" t="s">
        <v>19</v>
      </c>
      <c r="U48" s="79" t="s">
        <v>19</v>
      </c>
      <c r="V48" s="79"/>
      <c r="W48" s="80">
        <v>38.1</v>
      </c>
      <c r="X48" s="80">
        <v>16.933333333333334</v>
      </c>
      <c r="Y48" s="80">
        <v>55.033333333333339</v>
      </c>
      <c r="Z48" s="77">
        <v>106.85805422647529</v>
      </c>
      <c r="AA48" s="77">
        <v>253.57416267942585</v>
      </c>
    </row>
    <row r="49" spans="1:27" ht="18.5" customHeight="1">
      <c r="A49" s="74" t="s">
        <v>76</v>
      </c>
      <c r="B49" s="74">
        <v>60</v>
      </c>
      <c r="C49" s="75" t="s">
        <v>74</v>
      </c>
      <c r="D49" s="76">
        <v>67</v>
      </c>
      <c r="E49" s="77">
        <v>320.57416267942585</v>
      </c>
      <c r="F49" s="77">
        <v>253.57416267942585</v>
      </c>
      <c r="G49" s="78">
        <v>0.79100000000000004</v>
      </c>
      <c r="H49" s="76">
        <v>254</v>
      </c>
      <c r="I49" s="76">
        <v>263.77952755905511</v>
      </c>
      <c r="J49" s="75">
        <v>1</v>
      </c>
      <c r="K49" s="79"/>
      <c r="L49" s="79"/>
      <c r="M49" s="79"/>
      <c r="N49" s="79"/>
      <c r="O49" s="79"/>
      <c r="P49" s="79" t="s">
        <v>17</v>
      </c>
      <c r="Q49" s="79" t="s">
        <v>18</v>
      </c>
      <c r="R49" s="79" t="s">
        <v>18</v>
      </c>
      <c r="S49" s="79" t="s">
        <v>18</v>
      </c>
      <c r="T49" s="79" t="s">
        <v>19</v>
      </c>
      <c r="U49" s="79" t="s">
        <v>19</v>
      </c>
      <c r="V49" s="79" t="s">
        <v>19</v>
      </c>
      <c r="W49" s="80">
        <v>38.1</v>
      </c>
      <c r="X49" s="80">
        <v>16.933333333333334</v>
      </c>
      <c r="Y49" s="80">
        <v>55.033333333333339</v>
      </c>
      <c r="Z49" s="77">
        <v>106.85805422647529</v>
      </c>
      <c r="AA49" s="77">
        <v>253.57416267942585</v>
      </c>
    </row>
    <row r="50" spans="1:27" ht="18.5" customHeight="1">
      <c r="A50" s="74" t="s">
        <v>77</v>
      </c>
      <c r="B50" s="74">
        <v>60</v>
      </c>
      <c r="C50" s="75" t="s">
        <v>74</v>
      </c>
      <c r="D50" s="76">
        <v>53.397261261261235</v>
      </c>
      <c r="E50" s="77">
        <v>254.27267267267266</v>
      </c>
      <c r="F50" s="77">
        <v>200.87541141141142</v>
      </c>
      <c r="G50" s="78">
        <v>0.79</v>
      </c>
      <c r="H50" s="76">
        <v>195.5</v>
      </c>
      <c r="I50" s="76">
        <v>273.13177115734646</v>
      </c>
      <c r="J50" s="75">
        <v>1</v>
      </c>
      <c r="K50" s="79"/>
      <c r="L50" s="79"/>
      <c r="M50" s="79"/>
      <c r="N50" s="79"/>
      <c r="O50" s="79"/>
      <c r="P50" s="79"/>
      <c r="Q50" s="79" t="s">
        <v>17</v>
      </c>
      <c r="R50" s="79" t="s">
        <v>17</v>
      </c>
      <c r="S50" s="79" t="s">
        <v>18</v>
      </c>
      <c r="T50" s="79" t="s">
        <v>18</v>
      </c>
      <c r="U50" s="79" t="s">
        <v>19</v>
      </c>
      <c r="V50" s="79"/>
      <c r="W50" s="80">
        <v>8.6</v>
      </c>
      <c r="X50" s="80">
        <v>34.150000000000006</v>
      </c>
      <c r="Y50" s="80">
        <v>110</v>
      </c>
      <c r="Z50" s="77">
        <v>254.27267267267266</v>
      </c>
      <c r="AA50" s="77">
        <v>100.43770570570571</v>
      </c>
    </row>
    <row r="51" spans="1:27">
      <c r="W51" s="6"/>
      <c r="X51" s="6"/>
      <c r="Y51" s="6"/>
    </row>
    <row r="52" spans="1:27">
      <c r="W52" s="6"/>
      <c r="X52" s="6"/>
      <c r="Y52" s="6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showGridLines="0" zoomScale="70" zoomScaleNormal="70" workbookViewId="0">
      <selection activeCell="A8" sqref="A8"/>
    </sheetView>
  </sheetViews>
  <sheetFormatPr defaultRowHeight="18"/>
  <cols>
    <col min="1" max="1" width="8.6640625" style="60" customWidth="1"/>
    <col min="2" max="2" width="9.1640625" style="60" bestFit="1" customWidth="1"/>
    <col min="3" max="4" width="8.6640625" style="60" customWidth="1"/>
    <col min="5" max="5" width="10.1640625" style="60" bestFit="1" customWidth="1"/>
    <col min="6" max="6" width="8.6640625" style="60" customWidth="1"/>
    <col min="7" max="16384" width="8.6640625" style="60"/>
  </cols>
  <sheetData>
    <row r="1" spans="1:3" ht="18" customHeight="1">
      <c r="A1" s="5" t="s">
        <v>78</v>
      </c>
    </row>
    <row r="2" spans="1:3" ht="18" customHeight="1">
      <c r="A2" s="61" t="s">
        <v>79</v>
      </c>
      <c r="B2" s="62" t="s">
        <v>80</v>
      </c>
      <c r="C2" s="63" t="s">
        <v>81</v>
      </c>
    </row>
    <row r="3" spans="1:3" ht="18" customHeight="1">
      <c r="A3" s="64" t="s">
        <v>82</v>
      </c>
      <c r="B3" s="68">
        <v>9673</v>
      </c>
      <c r="C3" s="65" t="s">
        <v>83</v>
      </c>
    </row>
    <row r="4" spans="1:3" ht="18" customHeight="1">
      <c r="A4" s="64" t="s">
        <v>85</v>
      </c>
      <c r="B4" s="68">
        <v>1347.9087301587301</v>
      </c>
      <c r="C4" s="65" t="s">
        <v>86</v>
      </c>
    </row>
    <row r="5" spans="1:3" ht="18" customHeight="1">
      <c r="A5" s="64" t="s">
        <v>87</v>
      </c>
      <c r="B5" s="69">
        <v>4</v>
      </c>
      <c r="C5" s="65" t="s">
        <v>88</v>
      </c>
    </row>
    <row r="6" spans="1:3" ht="18" customHeight="1">
      <c r="A6" s="64" t="s">
        <v>89</v>
      </c>
      <c r="B6" s="70">
        <v>66.55</v>
      </c>
      <c r="C6" s="65" t="s">
        <v>86</v>
      </c>
    </row>
    <row r="7" spans="1:3" ht="18" customHeight="1">
      <c r="A7" s="66" t="s">
        <v>90</v>
      </c>
      <c r="B7" s="71">
        <v>5907.9999999999982</v>
      </c>
      <c r="C7" s="67" t="s">
        <v>83</v>
      </c>
    </row>
    <row r="8" spans="1:3" ht="18" customHeight="1"/>
    <row r="9" spans="1:3" ht="18" customHeight="1"/>
    <row r="10" spans="1:3" ht="18" customHeight="1"/>
    <row r="11" spans="1:3" ht="18" customHeight="1"/>
    <row r="12" spans="1:3" ht="18" customHeight="1"/>
    <row r="13" spans="1:3" ht="18" customHeight="1"/>
    <row r="14" spans="1:3" ht="18" customHeight="1"/>
    <row r="15" spans="1:3" ht="18" customHeight="1"/>
    <row r="16" spans="1:3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Z82"/>
  <sheetViews>
    <sheetView showGridLines="0" tabSelected="1" zoomScale="55" zoomScaleNormal="55" zoomScaleSheetLayoutView="55" workbookViewId="0">
      <pane xSplit="2" topLeftCell="C1" activePane="topRight" state="frozen"/>
      <selection pane="topRight"/>
    </sheetView>
  </sheetViews>
  <sheetFormatPr defaultColWidth="9" defaultRowHeight="18"/>
  <cols>
    <col min="1" max="1" width="9" style="9" customWidth="1"/>
    <col min="2" max="2" width="9" style="10" customWidth="1"/>
    <col min="3" max="51" width="5.58203125" style="9" customWidth="1"/>
    <col min="52" max="54" width="9" style="9" customWidth="1"/>
    <col min="55" max="16384" width="9" style="9"/>
  </cols>
  <sheetData>
    <row r="1" spans="1:52" ht="18" customHeight="1">
      <c r="A1" s="13" t="s">
        <v>92</v>
      </c>
      <c r="I1" s="11"/>
      <c r="T1" s="11"/>
      <c r="AA1" s="11"/>
      <c r="AB1" s="11"/>
      <c r="AC1" s="11"/>
      <c r="AE1" s="11"/>
      <c r="AL1" s="11"/>
      <c r="AO1" s="11"/>
    </row>
    <row r="2" spans="1:52" ht="18" customHeight="1" thickBot="1">
      <c r="B2" s="21"/>
      <c r="C2" s="8">
        <v>4</v>
      </c>
      <c r="D2" s="8">
        <v>5</v>
      </c>
      <c r="E2" s="8">
        <v>6</v>
      </c>
      <c r="F2" s="8">
        <v>7</v>
      </c>
      <c r="G2" s="8">
        <v>8</v>
      </c>
      <c r="H2" s="8">
        <v>9</v>
      </c>
      <c r="I2" s="8">
        <v>10</v>
      </c>
      <c r="J2" s="8">
        <v>11</v>
      </c>
      <c r="K2" s="8">
        <v>12</v>
      </c>
      <c r="L2" s="8">
        <v>1</v>
      </c>
      <c r="M2" s="8">
        <v>2</v>
      </c>
      <c r="N2" s="8">
        <v>3</v>
      </c>
      <c r="O2" s="14">
        <v>4</v>
      </c>
      <c r="P2" s="14">
        <v>5</v>
      </c>
      <c r="Q2" s="14">
        <v>6</v>
      </c>
      <c r="R2" s="14">
        <v>7</v>
      </c>
      <c r="S2" s="14">
        <v>8</v>
      </c>
      <c r="T2" s="14">
        <v>9</v>
      </c>
      <c r="U2" s="14">
        <v>10</v>
      </c>
      <c r="V2" s="14">
        <v>11</v>
      </c>
      <c r="W2" s="14">
        <v>12</v>
      </c>
      <c r="X2" s="14">
        <v>1</v>
      </c>
      <c r="Y2" s="14">
        <v>2</v>
      </c>
      <c r="Z2" s="14">
        <v>3</v>
      </c>
      <c r="AA2" s="8">
        <v>4</v>
      </c>
      <c r="AB2" s="8">
        <v>5</v>
      </c>
      <c r="AC2" s="8">
        <v>6</v>
      </c>
      <c r="AD2" s="8">
        <v>7</v>
      </c>
      <c r="AE2" s="8">
        <v>8</v>
      </c>
      <c r="AF2" s="8">
        <v>9</v>
      </c>
      <c r="AG2" s="8">
        <v>10</v>
      </c>
      <c r="AH2" s="8">
        <v>11</v>
      </c>
      <c r="AI2" s="8">
        <v>12</v>
      </c>
      <c r="AJ2" s="8">
        <v>1</v>
      </c>
      <c r="AK2" s="8">
        <v>2</v>
      </c>
      <c r="AL2" s="8">
        <v>3</v>
      </c>
      <c r="AM2" s="14">
        <v>4</v>
      </c>
      <c r="AN2" s="14">
        <v>5</v>
      </c>
      <c r="AO2" s="14">
        <v>6</v>
      </c>
      <c r="AP2" s="14">
        <v>7</v>
      </c>
      <c r="AQ2" s="14">
        <v>8</v>
      </c>
      <c r="AR2" s="14">
        <v>9</v>
      </c>
      <c r="AS2" s="14">
        <v>10</v>
      </c>
      <c r="AT2" s="14">
        <v>11</v>
      </c>
      <c r="AU2" s="14">
        <v>12</v>
      </c>
      <c r="AV2" s="14">
        <v>1</v>
      </c>
      <c r="AW2" s="14">
        <v>2</v>
      </c>
      <c r="AX2" s="14">
        <v>3</v>
      </c>
      <c r="AY2" s="8">
        <v>4</v>
      </c>
    </row>
    <row r="3" spans="1:52" ht="18" hidden="1" customHeight="1">
      <c r="B3" s="42" t="s">
        <v>93</v>
      </c>
      <c r="C3" s="11"/>
      <c r="D3" s="12"/>
      <c r="E3" s="12" t="s">
        <v>52</v>
      </c>
      <c r="F3" s="12" t="s">
        <v>52</v>
      </c>
      <c r="G3" s="12" t="s">
        <v>52</v>
      </c>
      <c r="H3" s="12" t="s">
        <v>52</v>
      </c>
      <c r="I3" s="11"/>
      <c r="J3" s="11"/>
      <c r="K3" s="11" t="s">
        <v>71</v>
      </c>
      <c r="L3" s="11" t="s">
        <v>71</v>
      </c>
      <c r="M3" s="11" t="s">
        <v>71</v>
      </c>
      <c r="N3" s="11" t="s">
        <v>71</v>
      </c>
      <c r="O3" s="11"/>
      <c r="P3" s="11"/>
      <c r="Q3" s="12"/>
      <c r="R3" s="12"/>
      <c r="S3" s="12" t="s">
        <v>60</v>
      </c>
      <c r="T3" s="12" t="s">
        <v>60</v>
      </c>
      <c r="U3" s="12" t="s">
        <v>60</v>
      </c>
      <c r="V3" s="12" t="s">
        <v>60</v>
      </c>
      <c r="W3" s="12"/>
      <c r="X3" s="12"/>
      <c r="Y3" s="11" t="s">
        <v>43</v>
      </c>
      <c r="Z3" s="11" t="s">
        <v>43</v>
      </c>
      <c r="AA3" s="11" t="s">
        <v>43</v>
      </c>
      <c r="AB3" s="11" t="s">
        <v>43</v>
      </c>
      <c r="AC3" s="11" t="s">
        <v>43</v>
      </c>
      <c r="AD3" s="11" t="s">
        <v>43</v>
      </c>
      <c r="AE3" s="11"/>
      <c r="AF3" s="11"/>
      <c r="AG3" s="11"/>
      <c r="AH3" s="11" t="s">
        <v>62</v>
      </c>
      <c r="AI3" s="11" t="s">
        <v>62</v>
      </c>
      <c r="AJ3" s="11" t="s">
        <v>62</v>
      </c>
      <c r="AK3" s="11" t="s">
        <v>62</v>
      </c>
      <c r="AL3" s="11" t="s">
        <v>62</v>
      </c>
      <c r="AM3" s="11"/>
      <c r="AN3" s="11"/>
      <c r="AO3" s="11" t="s">
        <v>52</v>
      </c>
      <c r="AP3" s="11" t="s">
        <v>52</v>
      </c>
      <c r="AQ3" s="11" t="s">
        <v>52</v>
      </c>
      <c r="AR3" s="11" t="s">
        <v>52</v>
      </c>
      <c r="AS3" s="11"/>
      <c r="AT3" s="11"/>
      <c r="AU3" s="11" t="s">
        <v>71</v>
      </c>
      <c r="AV3" s="11" t="s">
        <v>71</v>
      </c>
      <c r="AW3" s="11" t="s">
        <v>71</v>
      </c>
      <c r="AX3" s="11" t="s">
        <v>71</v>
      </c>
      <c r="AY3" s="11"/>
      <c r="AZ3" s="11">
        <v>20</v>
      </c>
    </row>
    <row r="4" spans="1:52" ht="18" hidden="1" customHeight="1">
      <c r="B4" s="42" t="s">
        <v>94</v>
      </c>
      <c r="G4" s="11" t="s">
        <v>60</v>
      </c>
      <c r="H4" s="11" t="s">
        <v>60</v>
      </c>
      <c r="I4" s="11" t="s">
        <v>60</v>
      </c>
      <c r="J4" s="11" t="s">
        <v>60</v>
      </c>
      <c r="K4" s="11"/>
      <c r="L4" s="11"/>
      <c r="M4" t="s">
        <v>67</v>
      </c>
      <c r="N4" t="s">
        <v>67</v>
      </c>
      <c r="O4" s="11" t="s">
        <v>67</v>
      </c>
      <c r="P4" t="s">
        <v>67</v>
      </c>
      <c r="Q4" s="11"/>
      <c r="R4" s="11"/>
      <c r="S4" s="11" t="s">
        <v>29</v>
      </c>
      <c r="T4" s="11" t="s">
        <v>29</v>
      </c>
      <c r="U4" s="11" t="s">
        <v>29</v>
      </c>
      <c r="V4" s="11" t="s">
        <v>29</v>
      </c>
      <c r="W4" s="11" t="s">
        <v>29</v>
      </c>
      <c r="X4" s="11"/>
      <c r="Y4" s="11"/>
      <c r="Z4" s="11" t="s">
        <v>15</v>
      </c>
      <c r="AA4" s="11" t="s">
        <v>15</v>
      </c>
      <c r="AB4" s="9" t="s">
        <v>15</v>
      </c>
      <c r="AC4" s="11" t="s">
        <v>15</v>
      </c>
      <c r="AD4" t="s">
        <v>15</v>
      </c>
      <c r="AE4" t="s">
        <v>15</v>
      </c>
      <c r="AF4" t="s">
        <v>15</v>
      </c>
      <c r="AJ4" t="s">
        <v>59</v>
      </c>
      <c r="AK4" t="s">
        <v>59</v>
      </c>
      <c r="AL4" s="11" t="s">
        <v>59</v>
      </c>
      <c r="AM4" s="11" t="s">
        <v>59</v>
      </c>
      <c r="AN4" s="11" t="s">
        <v>59</v>
      </c>
      <c r="AQ4" s="11" t="s">
        <v>29</v>
      </c>
      <c r="AR4" s="11" t="s">
        <v>29</v>
      </c>
      <c r="AS4" s="11" t="s">
        <v>29</v>
      </c>
      <c r="AT4" s="11" t="s">
        <v>29</v>
      </c>
      <c r="AU4" s="11" t="s">
        <v>29</v>
      </c>
      <c r="AV4" s="11"/>
    </row>
    <row r="5" spans="1:52" ht="18" hidden="1" customHeight="1">
      <c r="B5" s="42" t="s">
        <v>95</v>
      </c>
      <c r="G5" s="11"/>
      <c r="H5" s="11"/>
      <c r="I5" s="11" t="s">
        <v>61</v>
      </c>
      <c r="J5" s="11" t="s">
        <v>61</v>
      </c>
      <c r="K5" s="11" t="s">
        <v>61</v>
      </c>
      <c r="L5" s="11" t="s">
        <v>61</v>
      </c>
      <c r="O5" s="11"/>
      <c r="Q5" s="11" t="s">
        <v>52</v>
      </c>
      <c r="R5" s="11" t="s">
        <v>52</v>
      </c>
      <c r="S5" s="11" t="s">
        <v>52</v>
      </c>
      <c r="T5" s="11" t="s">
        <v>52</v>
      </c>
      <c r="U5" s="11"/>
      <c r="V5" s="11"/>
      <c r="W5" s="11" t="s">
        <v>71</v>
      </c>
      <c r="X5" s="11" t="s">
        <v>71</v>
      </c>
      <c r="Y5" s="11" t="s">
        <v>71</v>
      </c>
      <c r="Z5" s="11" t="s">
        <v>71</v>
      </c>
      <c r="AA5" s="11"/>
      <c r="AC5" s="11"/>
      <c r="AE5" s="9" t="s">
        <v>29</v>
      </c>
      <c r="AF5" s="9" t="s">
        <v>29</v>
      </c>
      <c r="AG5" s="9" t="s">
        <v>29</v>
      </c>
      <c r="AH5" t="s">
        <v>29</v>
      </c>
      <c r="AI5" t="s">
        <v>29</v>
      </c>
      <c r="AL5" s="11"/>
      <c r="AM5" s="11"/>
      <c r="AN5" s="11" t="s">
        <v>51</v>
      </c>
      <c r="AO5" t="s">
        <v>51</v>
      </c>
      <c r="AP5" t="s">
        <v>51</v>
      </c>
      <c r="AQ5" s="11" t="s">
        <v>51</v>
      </c>
      <c r="AR5" s="11"/>
      <c r="AS5" s="11"/>
      <c r="AT5" s="11" t="s">
        <v>62</v>
      </c>
      <c r="AU5" s="11" t="s">
        <v>62</v>
      </c>
      <c r="AV5" s="11" t="s">
        <v>62</v>
      </c>
      <c r="AW5" t="s">
        <v>62</v>
      </c>
      <c r="AX5" t="s">
        <v>62</v>
      </c>
    </row>
    <row r="6" spans="1:52" ht="18" hidden="1" customHeight="1">
      <c r="A6" s="31"/>
      <c r="B6" s="42" t="s">
        <v>96</v>
      </c>
      <c r="C6" s="31"/>
      <c r="D6" s="31" t="s">
        <v>51</v>
      </c>
      <c r="E6" s="31" t="s">
        <v>51</v>
      </c>
      <c r="F6" s="31" t="s">
        <v>51</v>
      </c>
      <c r="G6" s="48" t="s">
        <v>51</v>
      </c>
      <c r="H6" s="48"/>
      <c r="I6" s="48"/>
      <c r="J6" s="48"/>
      <c r="K6" s="48"/>
      <c r="L6" s="48" t="s">
        <v>59</v>
      </c>
      <c r="M6" s="31" t="s">
        <v>59</v>
      </c>
      <c r="N6" s="31" t="s">
        <v>59</v>
      </c>
      <c r="O6" s="48" t="s">
        <v>59</v>
      </c>
      <c r="P6" s="31" t="s">
        <v>59</v>
      </c>
      <c r="Q6" s="48"/>
      <c r="R6" s="48"/>
      <c r="S6" s="48" t="s">
        <v>29</v>
      </c>
      <c r="T6" s="48" t="s">
        <v>29</v>
      </c>
      <c r="U6" s="48" t="s">
        <v>29</v>
      </c>
      <c r="V6" s="48" t="s">
        <v>29</v>
      </c>
      <c r="W6" s="48" t="s">
        <v>29</v>
      </c>
      <c r="X6" s="48"/>
      <c r="Y6" s="48"/>
      <c r="Z6" s="48" t="s">
        <v>69</v>
      </c>
      <c r="AA6" s="48" t="s">
        <v>69</v>
      </c>
      <c r="AB6" s="31" t="s">
        <v>69</v>
      </c>
      <c r="AC6" s="48" t="s">
        <v>69</v>
      </c>
      <c r="AD6" s="31"/>
      <c r="AE6" s="31"/>
      <c r="AF6" s="31"/>
      <c r="AG6" s="31" t="s">
        <v>61</v>
      </c>
      <c r="AH6" s="31" t="s">
        <v>61</v>
      </c>
      <c r="AI6" s="31" t="s">
        <v>61</v>
      </c>
      <c r="AJ6" s="31" t="s">
        <v>61</v>
      </c>
      <c r="AK6" s="31"/>
      <c r="AL6" s="48"/>
      <c r="AM6" s="48"/>
      <c r="AN6" s="48"/>
      <c r="AO6" s="31"/>
      <c r="AP6" s="31"/>
      <c r="AQ6" s="48" t="s">
        <v>29</v>
      </c>
      <c r="AR6" s="48" t="s">
        <v>29</v>
      </c>
      <c r="AS6" s="48" t="s">
        <v>29</v>
      </c>
      <c r="AT6" s="48" t="s">
        <v>29</v>
      </c>
      <c r="AU6" s="48" t="s">
        <v>29</v>
      </c>
      <c r="AV6" s="48"/>
      <c r="AW6" s="31"/>
      <c r="AX6" s="31"/>
      <c r="AY6" s="31"/>
      <c r="AZ6" s="31"/>
    </row>
    <row r="7" spans="1:52" ht="18" customHeight="1">
      <c r="A7" s="10"/>
      <c r="B7" s="42" t="s">
        <v>93</v>
      </c>
      <c r="C7" s="10" t="str">
        <f>IF(C11="","",VLOOKUP(C3,栽培スケジュール!$A:$AN,MATCH("野菜名",栽培スケジュール!$1:$1,0),0))</f>
        <v/>
      </c>
      <c r="D7" s="10" t="str">
        <f>IF(D11="","",VLOOKUP(D3,栽培スケジュール!$A:$AN,MATCH("野菜名",栽培スケジュール!$1:$1,0),0))</f>
        <v/>
      </c>
      <c r="E7" s="10" t="str">
        <f>IF(E11="","",VLOOKUP(E3,栽培スケジュール!$A:$AN,MATCH("野菜名",栽培スケジュール!$1:$1,0),0))</f>
        <v>キャベツ</v>
      </c>
      <c r="F7" s="10" t="str">
        <f>IF(F11="","",VLOOKUP(F3,栽培スケジュール!$A:$AN,MATCH("野菜名",栽培スケジュール!$1:$1,0),0))</f>
        <v>キャベツ</v>
      </c>
      <c r="G7" s="10" t="str">
        <f>IF(G11="","",VLOOKUP(G3,栽培スケジュール!$A:$AN,MATCH("野菜名",栽培スケジュール!$1:$1,0),0))</f>
        <v>キャベツ</v>
      </c>
      <c r="H7" s="10" t="str">
        <f>IF(H11="","",VLOOKUP(H3,栽培スケジュール!$A:$AN,MATCH("野菜名",栽培スケジュール!$1:$1,0),0))</f>
        <v>キャベツ</v>
      </c>
      <c r="I7" s="10" t="str">
        <f>IF(I11="","",VLOOKUP(I3,栽培スケジュール!$A:$AN,MATCH("野菜名",栽培スケジュール!$1:$1,0),0))</f>
        <v/>
      </c>
      <c r="J7" s="10" t="str">
        <f>IF(J11="","",VLOOKUP(J3,栽培スケジュール!$A:$AN,MATCH("野菜名",栽培スケジュール!$1:$1,0),0))</f>
        <v/>
      </c>
      <c r="K7" s="10" t="str">
        <f>IF(K11="","",VLOOKUP(K3,栽培スケジュール!$A:$AN,MATCH("野菜名",栽培スケジュール!$1:$1,0),0))</f>
        <v>ダイコン</v>
      </c>
      <c r="L7" s="10" t="str">
        <f>IF(L11="","",VLOOKUP(L3,栽培スケジュール!$A:$AN,MATCH("野菜名",栽培スケジュール!$1:$1,0),0))</f>
        <v>ダイコン</v>
      </c>
      <c r="M7" s="10" t="str">
        <f>IF(M11="","",VLOOKUP(M3,栽培スケジュール!$A:$AN,MATCH("野菜名",栽培スケジュール!$1:$1,0),0))</f>
        <v>ダイコン</v>
      </c>
      <c r="N7" s="10" t="str">
        <f>IF(N11="","",VLOOKUP(N3,栽培スケジュール!$A:$AN,MATCH("野菜名",栽培スケジュール!$1:$1,0),0))</f>
        <v>ダイコン</v>
      </c>
      <c r="O7" s="10" t="str">
        <f>IF(O11="","",VLOOKUP(O3,栽培スケジュール!$A:$AN,MATCH("野菜名",栽培スケジュール!$1:$1,0),0))</f>
        <v/>
      </c>
      <c r="P7" s="10" t="str">
        <f>IF(P11="","",VLOOKUP(P3,栽培スケジュール!$A:$AN,MATCH("野菜名",栽培スケジュール!$1:$1,0),0))</f>
        <v/>
      </c>
      <c r="Q7" s="10" t="str">
        <f>IF(Q11="","",VLOOKUP(Q3,栽培スケジュール!$A:$AN,MATCH("野菜名",栽培スケジュール!$1:$1,0),0))</f>
        <v/>
      </c>
      <c r="R7" s="10" t="str">
        <f>IF(R11="","",VLOOKUP(R3,栽培スケジュール!$A:$AN,MATCH("野菜名",栽培スケジュール!$1:$1,0),0))</f>
        <v/>
      </c>
      <c r="S7" s="10" t="str">
        <f>IF(S11="","",VLOOKUP(S3,栽培スケジュール!$A:$AN,MATCH("野菜名",栽培スケジュール!$1:$1,0),0))</f>
        <v>レタス</v>
      </c>
      <c r="T7" s="10" t="str">
        <f>IF(T11="","",VLOOKUP(T3,栽培スケジュール!$A:$AN,MATCH("野菜名",栽培スケジュール!$1:$1,0),0))</f>
        <v>レタス</v>
      </c>
      <c r="U7" s="10" t="str">
        <f>IF(U11="","",VLOOKUP(U3,栽培スケジュール!$A:$AN,MATCH("野菜名",栽培スケジュール!$1:$1,0),0))</f>
        <v>レタス</v>
      </c>
      <c r="V7" s="10" t="str">
        <f>IF(V11="","",VLOOKUP(V3,栽培スケジュール!$A:$AN,MATCH("野菜名",栽培スケジュール!$1:$1,0),0))</f>
        <v>レタス</v>
      </c>
      <c r="W7" s="10" t="str">
        <f>IF(W11="","",VLOOKUP(W3,栽培スケジュール!$A:$AN,MATCH("野菜名",栽培スケジュール!$1:$1,0),0))</f>
        <v/>
      </c>
      <c r="X7" s="10" t="str">
        <f>IF(X11="","",VLOOKUP(X3,栽培スケジュール!$A:$AN,MATCH("野菜名",栽培スケジュール!$1:$1,0),0))</f>
        <v/>
      </c>
      <c r="Y7" s="10" t="str">
        <f>IF(Y11="","",VLOOKUP(Y3,栽培スケジュール!$A:$AN,MATCH("野菜名",栽培スケジュール!$1:$1,0),0))</f>
        <v>オクラ</v>
      </c>
      <c r="Z7" s="10" t="str">
        <f>IF(Z11="","",VLOOKUP(Z3,栽培スケジュール!$A:$AN,MATCH("野菜名",栽培スケジュール!$1:$1,0),0))</f>
        <v>オクラ</v>
      </c>
      <c r="AA7" s="10" t="str">
        <f>IF(AA11="","",VLOOKUP(AA3,栽培スケジュール!$A:$AN,MATCH("野菜名",栽培スケジュール!$1:$1,0),0))</f>
        <v>オクラ</v>
      </c>
      <c r="AB7" s="10" t="str">
        <f>IF(AB11="","",VLOOKUP(AB3,栽培スケジュール!$A:$AN,MATCH("野菜名",栽培スケジュール!$1:$1,0),0))</f>
        <v>オクラ</v>
      </c>
      <c r="AC7" s="10" t="str">
        <f>IF(AC11="","",VLOOKUP(AC3,栽培スケジュール!$A:$AN,MATCH("野菜名",栽培スケジュール!$1:$1,0),0))</f>
        <v>オクラ</v>
      </c>
      <c r="AD7" s="10" t="str">
        <f>IF(AD11="","",VLOOKUP(AD3,栽培スケジュール!$A:$AN,MATCH("野菜名",栽培スケジュール!$1:$1,0),0))</f>
        <v>オクラ</v>
      </c>
      <c r="AE7" s="10" t="str">
        <f>IF(AE11="","",VLOOKUP(AE3,栽培スケジュール!$A:$AN,MATCH("野菜名",栽培スケジュール!$1:$1,0),0))</f>
        <v/>
      </c>
      <c r="AF7" s="10" t="str">
        <f>IF(AF11="","",VLOOKUP(AF3,栽培スケジュール!$A:$AN,MATCH("野菜名",栽培スケジュール!$1:$1,0),0))</f>
        <v/>
      </c>
      <c r="AG7" s="10" t="str">
        <f>IF(AG11="","",VLOOKUP(AG3,栽培スケジュール!$A:$AN,MATCH("野菜名",栽培スケジュール!$1:$1,0),0))</f>
        <v/>
      </c>
      <c r="AH7" s="10" t="str">
        <f>IF(AH11="","",VLOOKUP(AH3,栽培スケジュール!$A:$AN,MATCH("野菜名",栽培スケジュール!$1:$1,0),0))</f>
        <v>レタス</v>
      </c>
      <c r="AI7" s="10" t="str">
        <f>IF(AI11="","",VLOOKUP(AI3,栽培スケジュール!$A:$AN,MATCH("野菜名",栽培スケジュール!$1:$1,0),0))</f>
        <v>レタス</v>
      </c>
      <c r="AJ7" s="10" t="str">
        <f>IF(AJ11="","",VLOOKUP(AJ3,栽培スケジュール!$A:$AN,MATCH("野菜名",栽培スケジュール!$1:$1,0),0))</f>
        <v>レタス</v>
      </c>
      <c r="AK7" s="10" t="str">
        <f>IF(AK11="","",VLOOKUP(AK3,栽培スケジュール!$A:$AN,MATCH("野菜名",栽培スケジュール!$1:$1,0),0))</f>
        <v>レタス</v>
      </c>
      <c r="AL7" s="10" t="str">
        <f>IF(AL11="","",VLOOKUP(AL3,栽培スケジュール!$A:$AN,MATCH("野菜名",栽培スケジュール!$1:$1,0),0))</f>
        <v>レタス</v>
      </c>
      <c r="AM7" s="10" t="str">
        <f>IF(AM11="","",VLOOKUP(AM3,栽培スケジュール!$A:$AN,MATCH("野菜名",栽培スケジュール!$1:$1,0),0))</f>
        <v/>
      </c>
      <c r="AN7" s="10" t="str">
        <f>IF(AN11="","",VLOOKUP(AN3,栽培スケジュール!$A:$AN,MATCH("野菜名",栽培スケジュール!$1:$1,0),0))</f>
        <v/>
      </c>
      <c r="AO7" s="10" t="str">
        <f>IF(AO11="","",VLOOKUP(AO3,栽培スケジュール!$A:$AN,MATCH("野菜名",栽培スケジュール!$1:$1,0),0))</f>
        <v>キャベツ</v>
      </c>
      <c r="AP7" s="10" t="str">
        <f>IF(AP11="","",VLOOKUP(AP3,栽培スケジュール!$A:$AN,MATCH("野菜名",栽培スケジュール!$1:$1,0),0))</f>
        <v>キャベツ</v>
      </c>
      <c r="AQ7" s="10" t="str">
        <f>IF(AQ11="","",VLOOKUP(AQ3,栽培スケジュール!$A:$AN,MATCH("野菜名",栽培スケジュール!$1:$1,0),0))</f>
        <v>キャベツ</v>
      </c>
      <c r="AR7" s="10" t="str">
        <f>IF(AR11="","",VLOOKUP(AR3,栽培スケジュール!$A:$AN,MATCH("野菜名",栽培スケジュール!$1:$1,0),0))</f>
        <v>キャベツ</v>
      </c>
      <c r="AS7" s="10" t="str">
        <f>IF(AS11="","",VLOOKUP(AS3,栽培スケジュール!$A:$AN,MATCH("野菜名",栽培スケジュール!$1:$1,0),0))</f>
        <v/>
      </c>
      <c r="AT7" s="10" t="str">
        <f>IF(AT11="","",VLOOKUP(AT3,栽培スケジュール!$A:$AN,MATCH("野菜名",栽培スケジュール!$1:$1,0),0))</f>
        <v/>
      </c>
      <c r="AU7" s="10" t="str">
        <f>IF(AU11="","",VLOOKUP(AU3,栽培スケジュール!$A:$AN,MATCH("野菜名",栽培スケジュール!$1:$1,0),0))</f>
        <v>ダイコン</v>
      </c>
      <c r="AV7" s="10" t="str">
        <f>IF(AV11="","",VLOOKUP(AV3,栽培スケジュール!$A:$AN,MATCH("野菜名",栽培スケジュール!$1:$1,0),0))</f>
        <v>ダイコン</v>
      </c>
      <c r="AW7" s="10" t="str">
        <f>IF(AW11="","",VLOOKUP(AW3,栽培スケジュール!$A:$AN,MATCH("野菜名",栽培スケジュール!$1:$1,0),0))</f>
        <v>ダイコン</v>
      </c>
      <c r="AX7" s="10" t="str">
        <f>IF(AX11="","",VLOOKUP(AX3,栽培スケジュール!$A:$AN,MATCH("野菜名",栽培スケジュール!$1:$1,0),0))</f>
        <v>ダイコン</v>
      </c>
      <c r="AY7" s="10" t="str">
        <f>IF(AY11="","",VLOOKUP(AY3,栽培スケジュール!$A:$AN,MATCH("野菜名",栽培スケジュール!$1:$1,0),0))</f>
        <v/>
      </c>
    </row>
    <row r="8" spans="1:52" ht="18" customHeight="1">
      <c r="A8" s="10"/>
      <c r="B8" s="42" t="s">
        <v>94</v>
      </c>
      <c r="C8" s="10" t="str">
        <f>IF(C12="","",VLOOKUP(C4,栽培スケジュール!$A:$AN,MATCH("野菜名",栽培スケジュール!$1:$1,0),0))</f>
        <v/>
      </c>
      <c r="D8" s="10" t="str">
        <f>IF(D12="","",VLOOKUP(D4,栽培スケジュール!$A:$AN,MATCH("野菜名",栽培スケジュール!$1:$1,0),0))</f>
        <v/>
      </c>
      <c r="E8" s="10" t="str">
        <f>IF(E12="","",VLOOKUP(E4,栽培スケジュール!$A:$AN,MATCH("野菜名",栽培スケジュール!$1:$1,0),0))</f>
        <v/>
      </c>
      <c r="F8" s="10" t="str">
        <f>IF(F12="","",VLOOKUP(F4,栽培スケジュール!$A:$AN,MATCH("野菜名",栽培スケジュール!$1:$1,0),0))</f>
        <v/>
      </c>
      <c r="G8" s="10" t="str">
        <f>IF(G12="","",VLOOKUP(G4,栽培スケジュール!$A:$AN,MATCH("野菜名",栽培スケジュール!$1:$1,0),0))</f>
        <v>レタス</v>
      </c>
      <c r="H8" s="10" t="str">
        <f>IF(H12="","",VLOOKUP(H4,栽培スケジュール!$A:$AN,MATCH("野菜名",栽培スケジュール!$1:$1,0),0))</f>
        <v>レタス</v>
      </c>
      <c r="I8" s="10" t="str">
        <f>IF(I12="","",VLOOKUP(I4,栽培スケジュール!$A:$AN,MATCH("野菜名",栽培スケジュール!$1:$1,0),0))</f>
        <v>レタス</v>
      </c>
      <c r="J8" s="10" t="str">
        <f>IF(J12="","",VLOOKUP(J4,栽培スケジュール!$A:$AN,MATCH("野菜名",栽培スケジュール!$1:$1,0),0))</f>
        <v>レタス</v>
      </c>
      <c r="K8" s="10" t="str">
        <f>IF(K12="","",VLOOKUP(K4,栽培スケジュール!$A:$AN,MATCH("野菜名",栽培スケジュール!$1:$1,0),0))</f>
        <v/>
      </c>
      <c r="L8" s="10" t="str">
        <f>IF(L12="","",VLOOKUP(L4,栽培スケジュール!$A:$AN,MATCH("野菜名",栽培スケジュール!$1:$1,0),0))</f>
        <v/>
      </c>
      <c r="M8" s="10" t="str">
        <f>IF(M12="","",VLOOKUP(M4,栽培スケジュール!$A:$AN,MATCH("野菜名",栽培スケジュール!$1:$1,0),0))</f>
        <v>ダイコン</v>
      </c>
      <c r="N8" s="10" t="str">
        <f>IF(N12="","",VLOOKUP(N4,栽培スケジュール!$A:$AN,MATCH("野菜名",栽培スケジュール!$1:$1,0),0))</f>
        <v>ダイコン</v>
      </c>
      <c r="O8" s="10" t="str">
        <f>IF(O12="","",VLOOKUP(O4,栽培スケジュール!$A:$AN,MATCH("野菜名",栽培スケジュール!$1:$1,0),0))</f>
        <v>ダイコン</v>
      </c>
      <c r="P8" s="10" t="str">
        <f>IF(P12="","",VLOOKUP(P4,栽培スケジュール!$A:$AN,MATCH("野菜名",栽培スケジュール!$1:$1,0),0))</f>
        <v>ダイコン</v>
      </c>
      <c r="Q8" s="10" t="str">
        <f>IF(Q12="","",VLOOKUP(Q4,栽培スケジュール!$A:$AN,MATCH("野菜名",栽培スケジュール!$1:$1,0),0))</f>
        <v/>
      </c>
      <c r="R8" s="10" t="str">
        <f>IF(R12="","",VLOOKUP(R4,栽培スケジュール!$A:$AN,MATCH("野菜名",栽培スケジュール!$1:$1,0),0))</f>
        <v/>
      </c>
      <c r="S8" s="10" t="str">
        <f>IF(S12="","",VLOOKUP(S4,栽培スケジュール!$A:$AN,MATCH("野菜名",栽培スケジュール!$1:$1,0),0))</f>
        <v>かぼちゃ</v>
      </c>
      <c r="T8" s="10" t="str">
        <f>IF(T12="","",VLOOKUP(T4,栽培スケジュール!$A:$AN,MATCH("野菜名",栽培スケジュール!$1:$1,0),0))</f>
        <v>かぼちゃ</v>
      </c>
      <c r="U8" s="10" t="str">
        <f>IF(U12="","",VLOOKUP(U4,栽培スケジュール!$A:$AN,MATCH("野菜名",栽培スケジュール!$1:$1,0),0))</f>
        <v>かぼちゃ</v>
      </c>
      <c r="V8" s="10" t="str">
        <f>IF(V12="","",VLOOKUP(V4,栽培スケジュール!$A:$AN,MATCH("野菜名",栽培スケジュール!$1:$1,0),0))</f>
        <v>かぼちゃ</v>
      </c>
      <c r="W8" s="10" t="str">
        <f>IF(W12="","",VLOOKUP(W4,栽培スケジュール!$A:$AN,MATCH("野菜名",栽培スケジュール!$1:$1,0),0))</f>
        <v>かぼちゃ</v>
      </c>
      <c r="X8" s="10" t="str">
        <f>IF(X12="","",VLOOKUP(X4,栽培スケジュール!$A:$AN,MATCH("野菜名",栽培スケジュール!$1:$1,0),0))</f>
        <v/>
      </c>
      <c r="Y8" s="10" t="str">
        <f>IF(Y12="","",VLOOKUP(Y4,栽培スケジュール!$A:$AN,MATCH("野菜名",栽培スケジュール!$1:$1,0),0))</f>
        <v/>
      </c>
      <c r="Z8" s="10" t="str">
        <f>IF(Z12="","",VLOOKUP(Z4,栽培スケジュール!$A:$AN,MATCH("野菜名",栽培スケジュール!$1:$1,0),0))</f>
        <v>ヘチマ</v>
      </c>
      <c r="AA8" s="10" t="str">
        <f>IF(AA12="","",VLOOKUP(AA4,栽培スケジュール!$A:$AN,MATCH("野菜名",栽培スケジュール!$1:$1,0),0))</f>
        <v>ヘチマ</v>
      </c>
      <c r="AB8" s="10" t="str">
        <f>IF(AB12="","",VLOOKUP(AB4,栽培スケジュール!$A:$AN,MATCH("野菜名",栽培スケジュール!$1:$1,0),0))</f>
        <v>ヘチマ</v>
      </c>
      <c r="AC8" s="10" t="str">
        <f>IF(AC12="","",VLOOKUP(AC4,栽培スケジュール!$A:$AN,MATCH("野菜名",栽培スケジュール!$1:$1,0),0))</f>
        <v>ヘチマ</v>
      </c>
      <c r="AD8" s="10" t="str">
        <f>IF(AD12="","",VLOOKUP(AD4,栽培スケジュール!$A:$AN,MATCH("野菜名",栽培スケジュール!$1:$1,0),0))</f>
        <v>ヘチマ</v>
      </c>
      <c r="AE8" s="10" t="str">
        <f>IF(AE12="","",VLOOKUP(AE4,栽培スケジュール!$A:$AN,MATCH("野菜名",栽培スケジュール!$1:$1,0),0))</f>
        <v>ヘチマ</v>
      </c>
      <c r="AF8" s="10" t="str">
        <f>IF(AF12="","",VLOOKUP(AF4,栽培スケジュール!$A:$AN,MATCH("野菜名",栽培スケジュール!$1:$1,0),0))</f>
        <v>ヘチマ</v>
      </c>
      <c r="AG8" s="10" t="str">
        <f>IF(AG12="","",VLOOKUP(AG4,栽培スケジュール!$A:$AN,MATCH("野菜名",栽培スケジュール!$1:$1,0),0))</f>
        <v/>
      </c>
      <c r="AH8" s="10" t="str">
        <f>IF(AH12="","",VLOOKUP(AH4,栽培スケジュール!$A:$AN,MATCH("野菜名",栽培スケジュール!$1:$1,0),0))</f>
        <v/>
      </c>
      <c r="AI8" s="10" t="str">
        <f>IF(AI12="","",VLOOKUP(AI4,栽培スケジュール!$A:$AN,MATCH("野菜名",栽培スケジュール!$1:$1,0),0))</f>
        <v/>
      </c>
      <c r="AJ8" s="10" t="str">
        <f>IF(AJ12="","",VLOOKUP(AJ4,栽培スケジュール!$A:$AN,MATCH("野菜名",栽培スケジュール!$1:$1,0),0))</f>
        <v>レタス</v>
      </c>
      <c r="AK8" s="10" t="str">
        <f>IF(AK12="","",VLOOKUP(AK4,栽培スケジュール!$A:$AN,MATCH("野菜名",栽培スケジュール!$1:$1,0),0))</f>
        <v>レタス</v>
      </c>
      <c r="AL8" s="10" t="str">
        <f>IF(AL12="","",VLOOKUP(AL4,栽培スケジュール!$A:$AN,MATCH("野菜名",栽培スケジュール!$1:$1,0),0))</f>
        <v>レタス</v>
      </c>
      <c r="AM8" s="10" t="str">
        <f>IF(AM12="","",VLOOKUP(AM4,栽培スケジュール!$A:$AN,MATCH("野菜名",栽培スケジュール!$1:$1,0),0))</f>
        <v>レタス</v>
      </c>
      <c r="AN8" s="10" t="str">
        <f>IF(AN12="","",VLOOKUP(AN4,栽培スケジュール!$A:$AN,MATCH("野菜名",栽培スケジュール!$1:$1,0),0))</f>
        <v>レタス</v>
      </c>
      <c r="AO8" s="10" t="str">
        <f>IF(AO12="","",VLOOKUP(AO4,栽培スケジュール!$A:$AN,MATCH("野菜名",栽培スケジュール!$1:$1,0),0))</f>
        <v/>
      </c>
      <c r="AP8" s="10" t="str">
        <f>IF(AP12="","",VLOOKUP(AP4,栽培スケジュール!$A:$AN,MATCH("野菜名",栽培スケジュール!$1:$1,0),0))</f>
        <v/>
      </c>
      <c r="AQ8" s="10" t="str">
        <f>IF(AQ12="","",VLOOKUP(AQ4,栽培スケジュール!$A:$AN,MATCH("野菜名",栽培スケジュール!$1:$1,0),0))</f>
        <v>かぼちゃ</v>
      </c>
      <c r="AR8" s="10" t="str">
        <f>IF(AR12="","",VLOOKUP(AR4,栽培スケジュール!$A:$AN,MATCH("野菜名",栽培スケジュール!$1:$1,0),0))</f>
        <v>かぼちゃ</v>
      </c>
      <c r="AS8" s="10" t="str">
        <f>IF(AS12="","",VLOOKUP(AS4,栽培スケジュール!$A:$AN,MATCH("野菜名",栽培スケジュール!$1:$1,0),0))</f>
        <v>かぼちゃ</v>
      </c>
      <c r="AT8" s="10" t="str">
        <f>IF(AT12="","",VLOOKUP(AT4,栽培スケジュール!$A:$AN,MATCH("野菜名",栽培スケジュール!$1:$1,0),0))</f>
        <v>かぼちゃ</v>
      </c>
      <c r="AU8" s="10" t="str">
        <f>IF(AU12="","",VLOOKUP(AU4,栽培スケジュール!$A:$AN,MATCH("野菜名",栽培スケジュール!$1:$1,0),0))</f>
        <v>かぼちゃ</v>
      </c>
      <c r="AV8" s="10" t="str">
        <f>IF(AV12="","",VLOOKUP(AV4,栽培スケジュール!$A:$AN,MATCH("野菜名",栽培スケジュール!$1:$1,0),0))</f>
        <v/>
      </c>
      <c r="AW8" s="10" t="str">
        <f>IF(AW12="","",VLOOKUP(AW4,栽培スケジュール!$A:$AN,MATCH("野菜名",栽培スケジュール!$1:$1,0),0))</f>
        <v/>
      </c>
      <c r="AX8" s="10" t="str">
        <f>IF(AX12="","",VLOOKUP(AX4,栽培スケジュール!$A:$AN,MATCH("野菜名",栽培スケジュール!$1:$1,0),0))</f>
        <v/>
      </c>
      <c r="AY8" s="10" t="str">
        <f>IF(AY12="","",VLOOKUP(AY4,栽培スケジュール!$A:$AN,MATCH("野菜名",栽培スケジュール!$1:$1,0),0))</f>
        <v/>
      </c>
    </row>
    <row r="9" spans="1:52" ht="18" customHeight="1">
      <c r="A9" s="10"/>
      <c r="B9" s="42" t="s">
        <v>95</v>
      </c>
      <c r="C9" s="10" t="str">
        <f>IF(C13="","",VLOOKUP(C5,栽培スケジュール!$A:$AN,MATCH("野菜名",栽培スケジュール!$1:$1,0),0))</f>
        <v/>
      </c>
      <c r="D9" s="10" t="str">
        <f>IF(D13="","",VLOOKUP(D5,栽培スケジュール!$A:$AN,MATCH("野菜名",栽培スケジュール!$1:$1,0),0))</f>
        <v/>
      </c>
      <c r="E9" s="10" t="str">
        <f>IF(E13="","",VLOOKUP(E5,栽培スケジュール!$A:$AN,MATCH("野菜名",栽培スケジュール!$1:$1,0),0))</f>
        <v/>
      </c>
      <c r="F9" s="10" t="str">
        <f>IF(F13="","",VLOOKUP(F5,栽培スケジュール!$A:$AN,MATCH("野菜名",栽培スケジュール!$1:$1,0),0))</f>
        <v/>
      </c>
      <c r="G9" s="10" t="str">
        <f>IF(G13="","",VLOOKUP(G5,栽培スケジュール!$A:$AN,MATCH("野菜名",栽培スケジュール!$1:$1,0),0))</f>
        <v/>
      </c>
      <c r="H9" s="10" t="str">
        <f>IF(H13="","",VLOOKUP(H5,栽培スケジュール!$A:$AN,MATCH("野菜名",栽培スケジュール!$1:$1,0),0))</f>
        <v/>
      </c>
      <c r="I9" s="10" t="str">
        <f>IF(I13="","",VLOOKUP(I5,栽培スケジュール!$A:$AN,MATCH("野菜名",栽培スケジュール!$1:$1,0),0))</f>
        <v>レタス</v>
      </c>
      <c r="J9" s="10" t="str">
        <f>IF(J13="","",VLOOKUP(J5,栽培スケジュール!$A:$AN,MATCH("野菜名",栽培スケジュール!$1:$1,0),0))</f>
        <v>レタス</v>
      </c>
      <c r="K9" s="10" t="str">
        <f>IF(K13="","",VLOOKUP(K5,栽培スケジュール!$A:$AN,MATCH("野菜名",栽培スケジュール!$1:$1,0),0))</f>
        <v>レタス</v>
      </c>
      <c r="L9" s="10" t="str">
        <f>IF(L13="","",VLOOKUP(L5,栽培スケジュール!$A:$AN,MATCH("野菜名",栽培スケジュール!$1:$1,0),0))</f>
        <v>レタス</v>
      </c>
      <c r="M9" s="10" t="str">
        <f>IF(M13="","",VLOOKUP(M5,栽培スケジュール!$A:$AN,MATCH("野菜名",栽培スケジュール!$1:$1,0),0))</f>
        <v/>
      </c>
      <c r="N9" s="10" t="str">
        <f>IF(N13="","",VLOOKUP(N5,栽培スケジュール!$A:$AN,MATCH("野菜名",栽培スケジュール!$1:$1,0),0))</f>
        <v/>
      </c>
      <c r="O9" s="10" t="str">
        <f>IF(O13="","",VLOOKUP(O5,栽培スケジュール!$A:$AN,MATCH("野菜名",栽培スケジュール!$1:$1,0),0))</f>
        <v/>
      </c>
      <c r="P9" s="10" t="str">
        <f>IF(P13="","",VLOOKUP(P5,栽培スケジュール!$A:$AN,MATCH("野菜名",栽培スケジュール!$1:$1,0),0))</f>
        <v/>
      </c>
      <c r="Q9" s="10" t="str">
        <f>IF(Q13="","",VLOOKUP(Q5,栽培スケジュール!$A:$AN,MATCH("野菜名",栽培スケジュール!$1:$1,0),0))</f>
        <v>キャベツ</v>
      </c>
      <c r="R9" s="10" t="str">
        <f>IF(R13="","",VLOOKUP(R5,栽培スケジュール!$A:$AN,MATCH("野菜名",栽培スケジュール!$1:$1,0),0))</f>
        <v>キャベツ</v>
      </c>
      <c r="S9" s="10" t="str">
        <f>IF(S13="","",VLOOKUP(S5,栽培スケジュール!$A:$AN,MATCH("野菜名",栽培スケジュール!$1:$1,0),0))</f>
        <v>キャベツ</v>
      </c>
      <c r="T9" s="10" t="str">
        <f>IF(T13="","",VLOOKUP(T5,栽培スケジュール!$A:$AN,MATCH("野菜名",栽培スケジュール!$1:$1,0),0))</f>
        <v>キャベツ</v>
      </c>
      <c r="U9" s="10" t="str">
        <f>IF(U13="","",VLOOKUP(U5,栽培スケジュール!$A:$AN,MATCH("野菜名",栽培スケジュール!$1:$1,0),0))</f>
        <v/>
      </c>
      <c r="V9" s="10" t="str">
        <f>IF(V13="","",VLOOKUP(V5,栽培スケジュール!$A:$AN,MATCH("野菜名",栽培スケジュール!$1:$1,0),0))</f>
        <v/>
      </c>
      <c r="W9" s="10" t="str">
        <f>IF(W13="","",VLOOKUP(W5,栽培スケジュール!$A:$AN,MATCH("野菜名",栽培スケジュール!$1:$1,0),0))</f>
        <v>ダイコン</v>
      </c>
      <c r="X9" s="10" t="str">
        <f>IF(X13="","",VLOOKUP(X5,栽培スケジュール!$A:$AN,MATCH("野菜名",栽培スケジュール!$1:$1,0),0))</f>
        <v>ダイコン</v>
      </c>
      <c r="Y9" s="10" t="str">
        <f>IF(Y13="","",VLOOKUP(Y5,栽培スケジュール!$A:$AN,MATCH("野菜名",栽培スケジュール!$1:$1,0),0))</f>
        <v>ダイコン</v>
      </c>
      <c r="Z9" s="10" t="str">
        <f>IF(Z13="","",VLOOKUP(Z5,栽培スケジュール!$A:$AN,MATCH("野菜名",栽培スケジュール!$1:$1,0),0))</f>
        <v>ダイコン</v>
      </c>
      <c r="AA9" s="10" t="str">
        <f>IF(AA13="","",VLOOKUP(AA5,栽培スケジュール!$A:$AN,MATCH("野菜名",栽培スケジュール!$1:$1,0),0))</f>
        <v/>
      </c>
      <c r="AB9" s="10" t="str">
        <f>IF(AB13="","",VLOOKUP(AB5,栽培スケジュール!$A:$AN,MATCH("野菜名",栽培スケジュール!$1:$1,0),0))</f>
        <v/>
      </c>
      <c r="AC9" s="10" t="str">
        <f>IF(AC13="","",VLOOKUP(AC5,栽培スケジュール!$A:$AN,MATCH("野菜名",栽培スケジュール!$1:$1,0),0))</f>
        <v/>
      </c>
      <c r="AD9" s="10" t="str">
        <f>IF(AD13="","",VLOOKUP(AD5,栽培スケジュール!$A:$AN,MATCH("野菜名",栽培スケジュール!$1:$1,0),0))</f>
        <v/>
      </c>
      <c r="AE9" s="10" t="str">
        <f>IF(AE13="","",VLOOKUP(AE5,栽培スケジュール!$A:$AN,MATCH("野菜名",栽培スケジュール!$1:$1,0),0))</f>
        <v>かぼちゃ</v>
      </c>
      <c r="AF9" s="10" t="str">
        <f>IF(AF13="","",VLOOKUP(AF5,栽培スケジュール!$A:$AN,MATCH("野菜名",栽培スケジュール!$1:$1,0),0))</f>
        <v>かぼちゃ</v>
      </c>
      <c r="AG9" s="10" t="str">
        <f>IF(AG13="","",VLOOKUP(AG5,栽培スケジュール!$A:$AN,MATCH("野菜名",栽培スケジュール!$1:$1,0),0))</f>
        <v>かぼちゃ</v>
      </c>
      <c r="AH9" s="10" t="str">
        <f>IF(AH13="","",VLOOKUP(AH5,栽培スケジュール!$A:$AN,MATCH("野菜名",栽培スケジュール!$1:$1,0),0))</f>
        <v>かぼちゃ</v>
      </c>
      <c r="AI9" s="10" t="str">
        <f>IF(AI13="","",VLOOKUP(AI5,栽培スケジュール!$A:$AN,MATCH("野菜名",栽培スケジュール!$1:$1,0),0))</f>
        <v>かぼちゃ</v>
      </c>
      <c r="AJ9" s="10" t="str">
        <f>IF(AJ13="","",VLOOKUP(AJ5,栽培スケジュール!$A:$AN,MATCH("野菜名",栽培スケジュール!$1:$1,0),0))</f>
        <v/>
      </c>
      <c r="AK9" s="10" t="str">
        <f>IF(AK13="","",VLOOKUP(AK5,栽培スケジュール!$A:$AN,MATCH("野菜名",栽培スケジュール!$1:$1,0),0))</f>
        <v/>
      </c>
      <c r="AL9" s="10" t="str">
        <f>IF(AL13="","",VLOOKUP(AL5,栽培スケジュール!$A:$AN,MATCH("野菜名",栽培スケジュール!$1:$1,0),0))</f>
        <v/>
      </c>
      <c r="AM9" s="10" t="str">
        <f>IF(AM13="","",VLOOKUP(AM5,栽培スケジュール!$A:$AN,MATCH("野菜名",栽培スケジュール!$1:$1,0),0))</f>
        <v/>
      </c>
      <c r="AN9" s="10" t="str">
        <f>IF(AN13="","",VLOOKUP(AN5,栽培スケジュール!$A:$AN,MATCH("野菜名",栽培スケジュール!$1:$1,0),0))</f>
        <v>キャベツ</v>
      </c>
      <c r="AO9" s="10" t="str">
        <f>IF(AO13="","",VLOOKUP(AO5,栽培スケジュール!$A:$AN,MATCH("野菜名",栽培スケジュール!$1:$1,0),0))</f>
        <v>キャベツ</v>
      </c>
      <c r="AP9" s="10" t="str">
        <f>IF(AP13="","",VLOOKUP(AP5,栽培スケジュール!$A:$AN,MATCH("野菜名",栽培スケジュール!$1:$1,0),0))</f>
        <v>キャベツ</v>
      </c>
      <c r="AQ9" s="10" t="str">
        <f>IF(AQ13="","",VLOOKUP(AQ5,栽培スケジュール!$A:$AN,MATCH("野菜名",栽培スケジュール!$1:$1,0),0))</f>
        <v>キャベツ</v>
      </c>
      <c r="AR9" s="10" t="str">
        <f>IF(AR13="","",VLOOKUP(AR5,栽培スケジュール!$A:$AN,MATCH("野菜名",栽培スケジュール!$1:$1,0),0))</f>
        <v/>
      </c>
      <c r="AS9" s="10" t="str">
        <f>IF(AS13="","",VLOOKUP(AS5,栽培スケジュール!$A:$AN,MATCH("野菜名",栽培スケジュール!$1:$1,0),0))</f>
        <v/>
      </c>
      <c r="AT9" s="10" t="str">
        <f>IF(AT13="","",VLOOKUP(AT5,栽培スケジュール!$A:$AN,MATCH("野菜名",栽培スケジュール!$1:$1,0),0))</f>
        <v>レタス</v>
      </c>
      <c r="AU9" s="10" t="str">
        <f>IF(AU13="","",VLOOKUP(AU5,栽培スケジュール!$A:$AN,MATCH("野菜名",栽培スケジュール!$1:$1,0),0))</f>
        <v>レタス</v>
      </c>
      <c r="AV9" s="10" t="str">
        <f>IF(AV13="","",VLOOKUP(AV5,栽培スケジュール!$A:$AN,MATCH("野菜名",栽培スケジュール!$1:$1,0),0))</f>
        <v>レタス</v>
      </c>
      <c r="AW9" s="10" t="str">
        <f>IF(AW13="","",VLOOKUP(AW5,栽培スケジュール!$A:$AN,MATCH("野菜名",栽培スケジュール!$1:$1,0),0))</f>
        <v>レタス</v>
      </c>
      <c r="AX9" s="10" t="str">
        <f>IF(AX13="","",VLOOKUP(AX5,栽培スケジュール!$A:$AN,MATCH("野菜名",栽培スケジュール!$1:$1,0),0))</f>
        <v>レタス</v>
      </c>
      <c r="AY9" s="10" t="str">
        <f>IF(AY13="","",VLOOKUP(AY5,栽培スケジュール!$A:$AN,MATCH("野菜名",栽培スケジュール!$1:$1,0),0))</f>
        <v/>
      </c>
    </row>
    <row r="10" spans="1:52" ht="18" customHeight="1">
      <c r="A10" s="10"/>
      <c r="B10" s="43" t="s">
        <v>96</v>
      </c>
      <c r="C10" s="44" t="str">
        <f>IF(C14="","",VLOOKUP(C6,栽培スケジュール!$A:$AN,MATCH("野菜名",栽培スケジュール!$1:$1,0),0))</f>
        <v/>
      </c>
      <c r="D10" s="44" t="str">
        <f>IF(D14="","",VLOOKUP(D6,栽培スケジュール!$A:$AN,MATCH("野菜名",栽培スケジュール!$1:$1,0),0))</f>
        <v>キャベツ</v>
      </c>
      <c r="E10" s="44" t="str">
        <f>IF(E14="","",VLOOKUP(E6,栽培スケジュール!$A:$AN,MATCH("野菜名",栽培スケジュール!$1:$1,0),0))</f>
        <v>キャベツ</v>
      </c>
      <c r="F10" s="44" t="str">
        <f>IF(F14="","",VLOOKUP(F6,栽培スケジュール!$A:$AN,MATCH("野菜名",栽培スケジュール!$1:$1,0),0))</f>
        <v>キャベツ</v>
      </c>
      <c r="G10" s="44" t="str">
        <f>IF(G14="","",VLOOKUP(G6,栽培スケジュール!$A:$AN,MATCH("野菜名",栽培スケジュール!$1:$1,0),0))</f>
        <v>キャベツ</v>
      </c>
      <c r="H10" s="44" t="str">
        <f>IF(H14="","",VLOOKUP(H6,栽培スケジュール!$A:$AN,MATCH("野菜名",栽培スケジュール!$1:$1,0),0))</f>
        <v/>
      </c>
      <c r="I10" s="44" t="str">
        <f>IF(I14="","",VLOOKUP(I6,栽培スケジュール!$A:$AN,MATCH("野菜名",栽培スケジュール!$1:$1,0),0))</f>
        <v/>
      </c>
      <c r="J10" s="44" t="str">
        <f>IF(J14="","",VLOOKUP(J6,栽培スケジュール!$A:$AN,MATCH("野菜名",栽培スケジュール!$1:$1,0),0))</f>
        <v/>
      </c>
      <c r="K10" s="44" t="str">
        <f>IF(K14="","",VLOOKUP(K6,栽培スケジュール!$A:$AN,MATCH("野菜名",栽培スケジュール!$1:$1,0),0))</f>
        <v/>
      </c>
      <c r="L10" s="44" t="str">
        <f>IF(L14="","",VLOOKUP(L6,栽培スケジュール!$A:$AN,MATCH("野菜名",栽培スケジュール!$1:$1,0),0))</f>
        <v>レタス</v>
      </c>
      <c r="M10" s="44" t="str">
        <f>IF(M14="","",VLOOKUP(M6,栽培スケジュール!$A:$AN,MATCH("野菜名",栽培スケジュール!$1:$1,0),0))</f>
        <v>レタス</v>
      </c>
      <c r="N10" s="44" t="str">
        <f>IF(N14="","",VLOOKUP(N6,栽培スケジュール!$A:$AN,MATCH("野菜名",栽培スケジュール!$1:$1,0),0))</f>
        <v>レタス</v>
      </c>
      <c r="O10" s="44" t="str">
        <f>IF(O14="","",VLOOKUP(O6,栽培スケジュール!$A:$AN,MATCH("野菜名",栽培スケジュール!$1:$1,0),0))</f>
        <v>レタス</v>
      </c>
      <c r="P10" s="44" t="str">
        <f>IF(P14="","",VLOOKUP(P6,栽培スケジュール!$A:$AN,MATCH("野菜名",栽培スケジュール!$1:$1,0),0))</f>
        <v>レタス</v>
      </c>
      <c r="Q10" s="44" t="str">
        <f>IF(Q14="","",VLOOKUP(Q6,栽培スケジュール!$A:$AN,MATCH("野菜名",栽培スケジュール!$1:$1,0),0))</f>
        <v/>
      </c>
      <c r="R10" s="44" t="str">
        <f>IF(R14="","",VLOOKUP(R6,栽培スケジュール!$A:$AN,MATCH("野菜名",栽培スケジュール!$1:$1,0),0))</f>
        <v/>
      </c>
      <c r="S10" s="44" t="str">
        <f>IF(S14="","",VLOOKUP(S6,栽培スケジュール!$A:$AN,MATCH("野菜名",栽培スケジュール!$1:$1,0),0))</f>
        <v>かぼちゃ</v>
      </c>
      <c r="T10" s="44" t="str">
        <f>IF(T14="","",VLOOKUP(T6,栽培スケジュール!$A:$AN,MATCH("野菜名",栽培スケジュール!$1:$1,0),0))</f>
        <v>かぼちゃ</v>
      </c>
      <c r="U10" s="44" t="str">
        <f>IF(U14="","",VLOOKUP(U6,栽培スケジュール!$A:$AN,MATCH("野菜名",栽培スケジュール!$1:$1,0),0))</f>
        <v>かぼちゃ</v>
      </c>
      <c r="V10" s="44" t="str">
        <f>IF(V14="","",VLOOKUP(V6,栽培スケジュール!$A:$AN,MATCH("野菜名",栽培スケジュール!$1:$1,0),0))</f>
        <v>かぼちゃ</v>
      </c>
      <c r="W10" s="44" t="str">
        <f>IF(W14="","",VLOOKUP(W6,栽培スケジュール!$A:$AN,MATCH("野菜名",栽培スケジュール!$1:$1,0),0))</f>
        <v>かぼちゃ</v>
      </c>
      <c r="X10" s="44" t="str">
        <f>IF(X14="","",VLOOKUP(X6,栽培スケジュール!$A:$AN,MATCH("野菜名",栽培スケジュール!$1:$1,0),0))</f>
        <v/>
      </c>
      <c r="Y10" s="44" t="str">
        <f>IF(Y14="","",VLOOKUP(Y6,栽培スケジュール!$A:$AN,MATCH("野菜名",栽培スケジュール!$1:$1,0),0))</f>
        <v/>
      </c>
      <c r="Z10" s="44" t="str">
        <f>IF(Z14="","",VLOOKUP(Z6,栽培スケジュール!$A:$AN,MATCH("野菜名",栽培スケジュール!$1:$1,0),0))</f>
        <v>ダイコン</v>
      </c>
      <c r="AA10" s="44" t="str">
        <f>IF(AA14="","",VLOOKUP(AA6,栽培スケジュール!$A:$AN,MATCH("野菜名",栽培スケジュール!$1:$1,0),0))</f>
        <v>ダイコン</v>
      </c>
      <c r="AB10" s="44" t="str">
        <f>IF(AB14="","",VLOOKUP(AB6,栽培スケジュール!$A:$AN,MATCH("野菜名",栽培スケジュール!$1:$1,0),0))</f>
        <v>ダイコン</v>
      </c>
      <c r="AC10" s="44" t="str">
        <f>IF(AC14="","",VLOOKUP(AC6,栽培スケジュール!$A:$AN,MATCH("野菜名",栽培スケジュール!$1:$1,0),0))</f>
        <v>ダイコン</v>
      </c>
      <c r="AD10" s="44" t="str">
        <f>IF(AD14="","",VLOOKUP(AD6,栽培スケジュール!$A:$AN,MATCH("野菜名",栽培スケジュール!$1:$1,0),0))</f>
        <v/>
      </c>
      <c r="AE10" s="44" t="str">
        <f>IF(AE14="","",VLOOKUP(AE6,栽培スケジュール!$A:$AN,MATCH("野菜名",栽培スケジュール!$1:$1,0),0))</f>
        <v/>
      </c>
      <c r="AF10" s="44" t="str">
        <f>IF(AF14="","",VLOOKUP(AF6,栽培スケジュール!$A:$AN,MATCH("野菜名",栽培スケジュール!$1:$1,0),0))</f>
        <v/>
      </c>
      <c r="AG10" s="44" t="str">
        <f>IF(AG14="","",VLOOKUP(AG6,栽培スケジュール!$A:$AN,MATCH("野菜名",栽培スケジュール!$1:$1,0),0))</f>
        <v>レタス</v>
      </c>
      <c r="AH10" s="44" t="str">
        <f>IF(AH14="","",VLOOKUP(AH6,栽培スケジュール!$A:$AN,MATCH("野菜名",栽培スケジュール!$1:$1,0),0))</f>
        <v>レタス</v>
      </c>
      <c r="AI10" s="44" t="str">
        <f>IF(AI14="","",VLOOKUP(AI6,栽培スケジュール!$A:$AN,MATCH("野菜名",栽培スケジュール!$1:$1,0),0))</f>
        <v>レタス</v>
      </c>
      <c r="AJ10" s="44" t="str">
        <f>IF(AJ14="","",VLOOKUP(AJ6,栽培スケジュール!$A:$AN,MATCH("野菜名",栽培スケジュール!$1:$1,0),0))</f>
        <v>レタス</v>
      </c>
      <c r="AK10" s="44" t="str">
        <f>IF(AK14="","",VLOOKUP(AK6,栽培スケジュール!$A:$AN,MATCH("野菜名",栽培スケジュール!$1:$1,0),0))</f>
        <v/>
      </c>
      <c r="AL10" s="44" t="str">
        <f>IF(AL14="","",VLOOKUP(AL6,栽培スケジュール!$A:$AN,MATCH("野菜名",栽培スケジュール!$1:$1,0),0))</f>
        <v/>
      </c>
      <c r="AM10" s="44" t="str">
        <f>IF(AM14="","",VLOOKUP(AM6,栽培スケジュール!$A:$AN,MATCH("野菜名",栽培スケジュール!$1:$1,0),0))</f>
        <v/>
      </c>
      <c r="AN10" s="44" t="str">
        <f>IF(AN14="","",VLOOKUP(AN6,栽培スケジュール!$A:$AN,MATCH("野菜名",栽培スケジュール!$1:$1,0),0))</f>
        <v/>
      </c>
      <c r="AO10" s="44" t="str">
        <f>IF(AO14="","",VLOOKUP(AO6,栽培スケジュール!$A:$AN,MATCH("野菜名",栽培スケジュール!$1:$1,0),0))</f>
        <v/>
      </c>
      <c r="AP10" s="44" t="str">
        <f>IF(AP14="","",VLOOKUP(AP6,栽培スケジュール!$A:$AN,MATCH("野菜名",栽培スケジュール!$1:$1,0),0))</f>
        <v/>
      </c>
      <c r="AQ10" s="44" t="str">
        <f>IF(AQ14="","",VLOOKUP(AQ6,栽培スケジュール!$A:$AN,MATCH("野菜名",栽培スケジュール!$1:$1,0),0))</f>
        <v>かぼちゃ</v>
      </c>
      <c r="AR10" s="44" t="str">
        <f>IF(AR14="","",VLOOKUP(AR6,栽培スケジュール!$A:$AN,MATCH("野菜名",栽培スケジュール!$1:$1,0),0))</f>
        <v>かぼちゃ</v>
      </c>
      <c r="AS10" s="44" t="str">
        <f>IF(AS14="","",VLOOKUP(AS6,栽培スケジュール!$A:$AN,MATCH("野菜名",栽培スケジュール!$1:$1,0),0))</f>
        <v>かぼちゃ</v>
      </c>
      <c r="AT10" s="44" t="str">
        <f>IF(AT14="","",VLOOKUP(AT6,栽培スケジュール!$A:$AN,MATCH("野菜名",栽培スケジュール!$1:$1,0),0))</f>
        <v>かぼちゃ</v>
      </c>
      <c r="AU10" s="44" t="str">
        <f>IF(AU14="","",VLOOKUP(AU6,栽培スケジュール!$A:$AN,MATCH("野菜名",栽培スケジュール!$1:$1,0),0))</f>
        <v>かぼちゃ</v>
      </c>
      <c r="AV10" s="44" t="str">
        <f>IF(AV14="","",VLOOKUP(AV6,栽培スケジュール!$A:$AN,MATCH("野菜名",栽培スケジュール!$1:$1,0),0))</f>
        <v/>
      </c>
      <c r="AW10" s="44" t="str">
        <f>IF(AW14="","",VLOOKUP(AW6,栽培スケジュール!$A:$AN,MATCH("野菜名",栽培スケジュール!$1:$1,0),0))</f>
        <v/>
      </c>
      <c r="AX10" s="44" t="str">
        <f>IF(AX14="","",VLOOKUP(AX6,栽培スケジュール!$A:$AN,MATCH("野菜名",栽培スケジュール!$1:$1,0),0))</f>
        <v/>
      </c>
      <c r="AY10" s="44" t="str">
        <f>IF(AY14="","",VLOOKUP(AY6,栽培スケジュール!$A:$AN,MATCH("野菜名",栽培スケジュール!$1:$1,0),0))</f>
        <v/>
      </c>
      <c r="AZ10" s="31"/>
    </row>
    <row r="11" spans="1:52" ht="18" hidden="1" customHeight="1">
      <c r="B11" s="42" t="s">
        <v>93</v>
      </c>
      <c r="C11" s="3"/>
      <c r="D11" s="3"/>
      <c r="E11" s="4" t="s">
        <v>17</v>
      </c>
      <c r="F11" s="4" t="s">
        <v>18</v>
      </c>
      <c r="G11" s="4" t="s">
        <v>18</v>
      </c>
      <c r="H11" s="3" t="s">
        <v>19</v>
      </c>
      <c r="I11" s="4"/>
      <c r="J11" s="4"/>
      <c r="K11" s="4" t="s">
        <v>17</v>
      </c>
      <c r="L11" s="4" t="s">
        <v>18</v>
      </c>
      <c r="M11" s="4" t="s">
        <v>19</v>
      </c>
      <c r="N11" s="4" t="s">
        <v>19</v>
      </c>
      <c r="O11" s="4"/>
      <c r="P11" s="4"/>
      <c r="Q11" s="3"/>
      <c r="R11" s="4"/>
      <c r="S11" s="4" t="s">
        <v>17</v>
      </c>
      <c r="T11" s="4" t="s">
        <v>18</v>
      </c>
      <c r="U11" s="4" t="s">
        <v>19</v>
      </c>
      <c r="V11" s="3" t="s">
        <v>19</v>
      </c>
      <c r="W11" s="3"/>
      <c r="X11" s="3"/>
      <c r="Y11" s="3" t="s">
        <v>17</v>
      </c>
      <c r="Z11" s="3" t="s">
        <v>18</v>
      </c>
      <c r="AA11" s="3" t="s">
        <v>19</v>
      </c>
      <c r="AB11" s="3" t="s">
        <v>19</v>
      </c>
      <c r="AC11" s="3" t="s">
        <v>19</v>
      </c>
      <c r="AD11" s="4" t="s">
        <v>19</v>
      </c>
      <c r="AE11" s="4"/>
      <c r="AF11" s="4"/>
      <c r="AG11" s="45"/>
      <c r="AH11" s="46" t="s">
        <v>17</v>
      </c>
      <c r="AI11" s="46" t="s">
        <v>18</v>
      </c>
      <c r="AJ11" s="46" t="s">
        <v>18</v>
      </c>
      <c r="AK11" s="4" t="s">
        <v>19</v>
      </c>
      <c r="AL11" s="4" t="s">
        <v>19</v>
      </c>
      <c r="AM11" s="4"/>
      <c r="AN11" s="4"/>
      <c r="AO11" s="4" t="s">
        <v>17</v>
      </c>
      <c r="AP11" s="4" t="s">
        <v>18</v>
      </c>
      <c r="AQ11" s="4" t="s">
        <v>18</v>
      </c>
      <c r="AR11" s="4" t="s">
        <v>19</v>
      </c>
      <c r="AS11" s="4"/>
      <c r="AT11" s="4"/>
      <c r="AU11" s="4" t="s">
        <v>17</v>
      </c>
      <c r="AV11" s="4" t="s">
        <v>18</v>
      </c>
      <c r="AW11" s="4" t="s">
        <v>19</v>
      </c>
      <c r="AX11" s="4" t="s">
        <v>19</v>
      </c>
      <c r="AY11" s="4"/>
      <c r="AZ11" s="12"/>
    </row>
    <row r="12" spans="1:52" ht="18" hidden="1" customHeight="1">
      <c r="B12" s="42" t="s">
        <v>94</v>
      </c>
      <c r="C12" s="3"/>
      <c r="D12" s="4"/>
      <c r="E12" s="4"/>
      <c r="F12" s="4"/>
      <c r="G12" s="4" t="s">
        <v>17</v>
      </c>
      <c r="H12" s="4" t="s">
        <v>18</v>
      </c>
      <c r="I12" s="4" t="s">
        <v>19</v>
      </c>
      <c r="J12" s="3" t="s">
        <v>19</v>
      </c>
      <c r="K12" s="3"/>
      <c r="L12" s="3"/>
      <c r="M12" s="3" t="s">
        <v>17</v>
      </c>
      <c r="N12" s="3" t="s">
        <v>18</v>
      </c>
      <c r="O12" s="3" t="s">
        <v>19</v>
      </c>
      <c r="P12" s="3" t="s">
        <v>19</v>
      </c>
      <c r="Q12" s="4"/>
      <c r="R12" s="4"/>
      <c r="S12" s="4" t="s">
        <v>17</v>
      </c>
      <c r="T12" s="4" t="s">
        <v>17</v>
      </c>
      <c r="U12" s="4" t="s">
        <v>18</v>
      </c>
      <c r="V12" s="3" t="s">
        <v>18</v>
      </c>
      <c r="W12" s="3" t="s">
        <v>19</v>
      </c>
      <c r="X12" s="3"/>
      <c r="Y12" s="3"/>
      <c r="Z12" s="3" t="s">
        <v>17</v>
      </c>
      <c r="AA12" s="3" t="s">
        <v>17</v>
      </c>
      <c r="AB12" s="4" t="s">
        <v>18</v>
      </c>
      <c r="AC12" s="4" t="s">
        <v>18</v>
      </c>
      <c r="AD12" s="4" t="s">
        <v>19</v>
      </c>
      <c r="AE12" s="4" t="s">
        <v>19</v>
      </c>
      <c r="AF12" s="4" t="s">
        <v>19</v>
      </c>
      <c r="AG12" s="4"/>
      <c r="AH12" s="4"/>
      <c r="AI12" s="3"/>
      <c r="AJ12" s="3" t="s">
        <v>17</v>
      </c>
      <c r="AK12" s="3" t="s">
        <v>17</v>
      </c>
      <c r="AL12" s="4" t="s">
        <v>18</v>
      </c>
      <c r="AM12" s="4" t="s">
        <v>19</v>
      </c>
      <c r="AN12" s="4" t="s">
        <v>19</v>
      </c>
      <c r="AO12" s="4"/>
      <c r="AP12" s="4"/>
      <c r="AQ12" s="4" t="s">
        <v>17</v>
      </c>
      <c r="AR12" s="4" t="s">
        <v>17</v>
      </c>
      <c r="AS12" s="4" t="s">
        <v>18</v>
      </c>
      <c r="AT12" s="3" t="s">
        <v>18</v>
      </c>
      <c r="AU12" s="3" t="s">
        <v>19</v>
      </c>
      <c r="AV12" s="3"/>
      <c r="AW12" s="3"/>
      <c r="AX12" s="3"/>
      <c r="AY12" s="3"/>
    </row>
    <row r="13" spans="1:52" ht="18" hidden="1" customHeight="1">
      <c r="B13" s="42" t="s">
        <v>95</v>
      </c>
      <c r="C13" s="3"/>
      <c r="D13" s="4"/>
      <c r="E13" s="4"/>
      <c r="F13" s="4"/>
      <c r="G13" s="4"/>
      <c r="H13" s="4"/>
      <c r="I13" s="4" t="s">
        <v>17</v>
      </c>
      <c r="J13" s="3" t="s">
        <v>18</v>
      </c>
      <c r="K13" s="3" t="s">
        <v>19</v>
      </c>
      <c r="L13" s="3" t="s">
        <v>19</v>
      </c>
      <c r="M13" s="3"/>
      <c r="N13" s="3"/>
      <c r="O13" s="3"/>
      <c r="P13" s="3"/>
      <c r="Q13" s="4" t="s">
        <v>17</v>
      </c>
      <c r="R13" s="4" t="s">
        <v>18</v>
      </c>
      <c r="S13" s="4" t="s">
        <v>18</v>
      </c>
      <c r="T13" s="4" t="s">
        <v>19</v>
      </c>
      <c r="U13" s="4"/>
      <c r="V13" s="3"/>
      <c r="W13" s="3" t="s">
        <v>17</v>
      </c>
      <c r="X13" s="3" t="s">
        <v>18</v>
      </c>
      <c r="Y13" s="3" t="s">
        <v>19</v>
      </c>
      <c r="Z13" s="3" t="s">
        <v>19</v>
      </c>
      <c r="AA13" s="3"/>
      <c r="AB13" s="4"/>
      <c r="AC13" s="4"/>
      <c r="AD13" s="4"/>
      <c r="AE13" s="4" t="s">
        <v>17</v>
      </c>
      <c r="AF13" s="4" t="s">
        <v>17</v>
      </c>
      <c r="AG13" s="4" t="s">
        <v>18</v>
      </c>
      <c r="AH13" s="4" t="s">
        <v>18</v>
      </c>
      <c r="AI13" s="3" t="s">
        <v>19</v>
      </c>
      <c r="AJ13" s="3"/>
      <c r="AK13" s="3"/>
      <c r="AL13" s="4"/>
      <c r="AM13" s="4"/>
      <c r="AN13" s="4" t="s">
        <v>17</v>
      </c>
      <c r="AO13" s="4" t="s">
        <v>17</v>
      </c>
      <c r="AP13" s="4" t="s">
        <v>18</v>
      </c>
      <c r="AQ13" s="4" t="s">
        <v>19</v>
      </c>
      <c r="AR13" s="4"/>
      <c r="AS13" s="4"/>
      <c r="AT13" s="3" t="s">
        <v>17</v>
      </c>
      <c r="AU13" s="3" t="s">
        <v>18</v>
      </c>
      <c r="AV13" s="3" t="s">
        <v>18</v>
      </c>
      <c r="AW13" s="3" t="s">
        <v>19</v>
      </c>
      <c r="AX13" s="3" t="s">
        <v>19</v>
      </c>
      <c r="AY13" s="3"/>
    </row>
    <row r="14" spans="1:52" ht="18" hidden="1" customHeight="1">
      <c r="A14" s="31"/>
      <c r="B14" s="42" t="s">
        <v>96</v>
      </c>
      <c r="C14" s="34"/>
      <c r="D14" s="35" t="s">
        <v>17</v>
      </c>
      <c r="E14" s="35" t="s">
        <v>17</v>
      </c>
      <c r="F14" s="35" t="s">
        <v>18</v>
      </c>
      <c r="G14" s="35" t="s">
        <v>19</v>
      </c>
      <c r="H14" s="35"/>
      <c r="I14" s="35"/>
      <c r="J14" s="34"/>
      <c r="K14" s="34"/>
      <c r="L14" s="34" t="s">
        <v>17</v>
      </c>
      <c r="M14" s="34" t="s">
        <v>17</v>
      </c>
      <c r="N14" s="34" t="s">
        <v>18</v>
      </c>
      <c r="O14" s="34" t="s">
        <v>19</v>
      </c>
      <c r="P14" s="34" t="s">
        <v>19</v>
      </c>
      <c r="Q14" s="35"/>
      <c r="R14" s="35"/>
      <c r="S14" s="35" t="s">
        <v>17</v>
      </c>
      <c r="T14" s="35" t="s">
        <v>17</v>
      </c>
      <c r="U14" s="35" t="s">
        <v>18</v>
      </c>
      <c r="V14" s="34" t="s">
        <v>18</v>
      </c>
      <c r="W14" s="34" t="s">
        <v>19</v>
      </c>
      <c r="X14" s="34"/>
      <c r="Y14" s="34"/>
      <c r="Z14" s="34" t="s">
        <v>17</v>
      </c>
      <c r="AA14" s="34" t="s">
        <v>18</v>
      </c>
      <c r="AB14" s="35" t="s">
        <v>19</v>
      </c>
      <c r="AC14" s="35" t="s">
        <v>19</v>
      </c>
      <c r="AD14" s="35"/>
      <c r="AE14" s="35"/>
      <c r="AF14" s="35"/>
      <c r="AG14" s="35" t="s">
        <v>17</v>
      </c>
      <c r="AH14" s="35" t="s">
        <v>18</v>
      </c>
      <c r="AI14" s="34" t="s">
        <v>19</v>
      </c>
      <c r="AJ14" s="34" t="s">
        <v>19</v>
      </c>
      <c r="AK14" s="34"/>
      <c r="AL14" s="35"/>
      <c r="AM14" s="35"/>
      <c r="AN14" s="35"/>
      <c r="AO14" s="35"/>
      <c r="AP14" s="35"/>
      <c r="AQ14" s="35" t="s">
        <v>17</v>
      </c>
      <c r="AR14" s="35" t="s">
        <v>17</v>
      </c>
      <c r="AS14" s="35" t="s">
        <v>18</v>
      </c>
      <c r="AT14" s="34" t="s">
        <v>18</v>
      </c>
      <c r="AU14" s="34" t="s">
        <v>19</v>
      </c>
      <c r="AV14" s="34"/>
      <c r="AW14" s="34"/>
      <c r="AX14" s="34"/>
      <c r="AY14" s="34"/>
      <c r="AZ14" s="31"/>
    </row>
    <row r="15" spans="1:52" ht="18" customHeight="1">
      <c r="B15" s="47"/>
    </row>
    <row r="16" spans="1:52" ht="18" customHeight="1">
      <c r="A16" s="13" t="s">
        <v>97</v>
      </c>
      <c r="B16" s="47"/>
      <c r="I16" s="11"/>
      <c r="T16" s="11"/>
      <c r="AA16" s="11"/>
      <c r="AB16" s="11"/>
      <c r="AC16" s="11"/>
      <c r="AE16" s="11"/>
      <c r="AL16" s="11"/>
      <c r="AO16" s="11"/>
      <c r="AX16" s="15" t="s">
        <v>98</v>
      </c>
    </row>
    <row r="17" spans="1:52" ht="18" customHeight="1" thickBot="1">
      <c r="B17" s="7"/>
      <c r="C17" s="8">
        <v>4</v>
      </c>
      <c r="D17" s="8">
        <v>5</v>
      </c>
      <c r="E17" s="8">
        <v>6</v>
      </c>
      <c r="F17" s="8">
        <v>7</v>
      </c>
      <c r="G17" s="8">
        <v>8</v>
      </c>
      <c r="H17" s="8">
        <v>9</v>
      </c>
      <c r="I17" s="8">
        <v>10</v>
      </c>
      <c r="J17" s="8">
        <v>11</v>
      </c>
      <c r="K17" s="8">
        <v>12</v>
      </c>
      <c r="L17" s="8">
        <v>1</v>
      </c>
      <c r="M17" s="8">
        <v>2</v>
      </c>
      <c r="N17" s="8">
        <v>3</v>
      </c>
      <c r="O17" s="14">
        <v>4</v>
      </c>
      <c r="P17" s="14">
        <v>5</v>
      </c>
      <c r="Q17" s="14">
        <v>6</v>
      </c>
      <c r="R17" s="14">
        <v>7</v>
      </c>
      <c r="S17" s="14">
        <v>8</v>
      </c>
      <c r="T17" s="14">
        <v>9</v>
      </c>
      <c r="U17" s="14">
        <v>10</v>
      </c>
      <c r="V17" s="14">
        <v>11</v>
      </c>
      <c r="W17" s="14">
        <v>12</v>
      </c>
      <c r="X17" s="14">
        <v>1</v>
      </c>
      <c r="Y17" s="14">
        <v>2</v>
      </c>
      <c r="Z17" s="14">
        <v>3</v>
      </c>
      <c r="AA17" s="8">
        <v>4</v>
      </c>
      <c r="AB17" s="8">
        <v>5</v>
      </c>
      <c r="AC17" s="8">
        <v>6</v>
      </c>
      <c r="AD17" s="8">
        <v>7</v>
      </c>
      <c r="AE17" s="8">
        <v>8</v>
      </c>
      <c r="AF17" s="8">
        <v>9</v>
      </c>
      <c r="AG17" s="8">
        <v>10</v>
      </c>
      <c r="AH17" s="8">
        <v>11</v>
      </c>
      <c r="AI17" s="8">
        <v>12</v>
      </c>
      <c r="AJ17" s="8">
        <v>1</v>
      </c>
      <c r="AK17" s="8">
        <v>2</v>
      </c>
      <c r="AL17" s="8">
        <v>3</v>
      </c>
      <c r="AM17" s="14">
        <v>4</v>
      </c>
      <c r="AN17" s="14">
        <v>5</v>
      </c>
      <c r="AO17" s="14">
        <v>6</v>
      </c>
      <c r="AP17" s="14">
        <v>7</v>
      </c>
      <c r="AQ17" s="14">
        <v>8</v>
      </c>
      <c r="AR17" s="14">
        <v>9</v>
      </c>
      <c r="AS17" s="14">
        <v>10</v>
      </c>
      <c r="AT17" s="14">
        <v>11</v>
      </c>
      <c r="AU17" s="14">
        <v>12</v>
      </c>
      <c r="AV17" s="14">
        <v>1</v>
      </c>
      <c r="AW17" s="14">
        <v>2</v>
      </c>
      <c r="AX17" s="14">
        <v>3</v>
      </c>
      <c r="AY17" s="8">
        <v>4</v>
      </c>
    </row>
    <row r="18" spans="1:52" ht="18" customHeight="1">
      <c r="B18" s="42" t="s">
        <v>93</v>
      </c>
      <c r="C18" s="16" t="str">
        <f>IF(C11="","",VLOOKUP(C3,栽培スケジュール!$A:$AN,IF(ISNUMBER(SEARCH("s",C11)),MATCH("s(h)",栽培スケジュール!$1:$1,0),IF(ISNUMBER(SEARCH("o",C11)),MATCH("o(h)",栽培スケジュール!$1:$1,0),MATCH("f(h)",栽培スケジュール!$1:$1,0))),0))</f>
        <v/>
      </c>
      <c r="D18" s="16" t="str">
        <f>IF(D11="","",VLOOKUP(D3,栽培スケジュール!$A:$AN,IF(ISNUMBER(SEARCH("s",D11)),MATCH("s(h)",栽培スケジュール!$1:$1,0),IF(ISNUMBER(SEARCH("o",D11)),MATCH("o(h)",栽培スケジュール!$1:$1,0),MATCH("f(h)",栽培スケジュール!$1:$1,0))),0))</f>
        <v/>
      </c>
      <c r="E18" s="16">
        <f>IF(E11="","",VLOOKUP(E3,栽培スケジュール!$A:$AN,IF(ISNUMBER(SEARCH("s",E11)),MATCH("s(h)",栽培スケジュール!$1:$1,0),IF(ISNUMBER(SEARCH("o",E11)),MATCH("o(h)",栽培スケジュール!$1:$1,0),MATCH("f(h)",栽培スケジュール!$1:$1,0))),0))</f>
        <v>19.349999999999998</v>
      </c>
      <c r="F18" s="16">
        <f>IF(F11="","",VLOOKUP(F3,栽培スケジュール!$A:$AN,IF(ISNUMBER(SEARCH("s",F11)),MATCH("s(h)",栽培スケジュール!$1:$1,0),IF(ISNUMBER(SEARCH("o",F11)),MATCH("o(h)",栽培スケジュール!$1:$1,0),MATCH("f(h)",栽培スケジュール!$1:$1,0))),0))</f>
        <v>12.9</v>
      </c>
      <c r="G18" s="16">
        <f>IF(G11="","",VLOOKUP(G3,栽培スケジュール!$A:$AN,IF(ISNUMBER(SEARCH("s",G11)),MATCH("s(h)",栽培スケジュール!$1:$1,0),IF(ISNUMBER(SEARCH("o",G11)),MATCH("o(h)",栽培スケジュール!$1:$1,0),MATCH("f(h)",栽培スケジュール!$1:$1,0))),0))</f>
        <v>12.9</v>
      </c>
      <c r="H18" s="16">
        <f>IF(H11="","",VLOOKUP(H3,栽培スケジュール!$A:$AN,IF(ISNUMBER(SEARCH("s",H11)),MATCH("s(h)",栽培スケジュール!$1:$1,0),IF(ISNUMBER(SEARCH("o",H11)),MATCH("o(h)",栽培スケジュール!$1:$1,0),MATCH("f(h)",栽培スケジュール!$1:$1,0))),0))</f>
        <v>83.850000000000009</v>
      </c>
      <c r="I18" s="16" t="str">
        <f>IF(I11="","",VLOOKUP(I3,栽培スケジュール!$A:$AN,IF(ISNUMBER(SEARCH("s",I11)),MATCH("s(h)",栽培スケジュール!$1:$1,0),IF(ISNUMBER(SEARCH("o",I11)),MATCH("o(h)",栽培スケジュール!$1:$1,0),MATCH("f(h)",栽培スケジュール!$1:$1,0))),0))</f>
        <v/>
      </c>
      <c r="J18" s="16" t="str">
        <f>IF(J11="","",VLOOKUP(J3,栽培スケジュール!$A:$AN,IF(ISNUMBER(SEARCH("s",J11)),MATCH("s(h)",栽培スケジュール!$1:$1,0),IF(ISNUMBER(SEARCH("o",J11)),MATCH("o(h)",栽培スケジュール!$1:$1,0),MATCH("f(h)",栽培スケジュール!$1:$1,0))),0))</f>
        <v/>
      </c>
      <c r="K18" s="16">
        <f>IF(K11="","",VLOOKUP(K3,栽培スケジュール!$A:$AN,IF(ISNUMBER(SEARCH("s",K11)),MATCH("s(h)",栽培スケジュール!$1:$1,0),IF(ISNUMBER(SEARCH("o",K11)),MATCH("o(h)",栽培スケジュール!$1:$1,0),MATCH("f(h)",栽培スケジュール!$1:$1,0))),0))</f>
        <v>31.799999999999997</v>
      </c>
      <c r="L18" s="16">
        <f>IF(L11="","",VLOOKUP(L3,栽培スケジュール!$A:$AN,IF(ISNUMBER(SEARCH("s",L11)),MATCH("s(h)",栽培スケジュール!$1:$1,0),IF(ISNUMBER(SEARCH("o",L11)),MATCH("o(h)",栽培スケジュール!$1:$1,0),MATCH("f(h)",栽培スケジュール!$1:$1,0))),0))</f>
        <v>42.400000000000006</v>
      </c>
      <c r="M18" s="16">
        <f>IF(M11="","",VLOOKUP(M3,栽培スケジュール!$A:$AN,IF(ISNUMBER(SEARCH("s",M11)),MATCH("s(h)",栽培スケジュール!$1:$1,0),IF(ISNUMBER(SEARCH("o",M11)),MATCH("o(h)",栽培スケジュール!$1:$1,0),MATCH("f(h)",栽培スケジュール!$1:$1,0))),0))</f>
        <v>68.899999999999991</v>
      </c>
      <c r="N18" s="16">
        <f>IF(N11="","",VLOOKUP(N3,栽培スケジュール!$A:$AN,IF(ISNUMBER(SEARCH("s",N11)),MATCH("s(h)",栽培スケジュール!$1:$1,0),IF(ISNUMBER(SEARCH("o",N11)),MATCH("o(h)",栽培スケジュール!$1:$1,0),MATCH("f(h)",栽培スケジュール!$1:$1,0))),0))</f>
        <v>68.899999999999991</v>
      </c>
      <c r="O18" s="16" t="str">
        <f>IF(O11="","",VLOOKUP(O3,栽培スケジュール!$A:$AN,IF(ISNUMBER(SEARCH("s",O11)),MATCH("s(h)",栽培スケジュール!$1:$1,0),IF(ISNUMBER(SEARCH("o",O11)),MATCH("o(h)",栽培スケジュール!$1:$1,0),MATCH("f(h)",栽培スケジュール!$1:$1,0))),0))</f>
        <v/>
      </c>
      <c r="P18" s="16" t="str">
        <f>IF(P11="","",VLOOKUP(P3,栽培スケジュール!$A:$AN,IF(ISNUMBER(SEARCH("s",P11)),MATCH("s(h)",栽培スケジュール!$1:$1,0),IF(ISNUMBER(SEARCH("o",P11)),MATCH("o(h)",栽培スケジュール!$1:$1,0),MATCH("f(h)",栽培スケジュール!$1:$1,0))),0))</f>
        <v/>
      </c>
      <c r="Q18" s="16" t="str">
        <f>IF(Q11="","",VLOOKUP(Q3,栽培スケジュール!$A:$AN,IF(ISNUMBER(SEARCH("s",Q11)),MATCH("s(h)",栽培スケジュール!$1:$1,0),IF(ISNUMBER(SEARCH("o",Q11)),MATCH("o(h)",栽培スケジュール!$1:$1,0),MATCH("f(h)",栽培スケジュール!$1:$1,0))),0))</f>
        <v/>
      </c>
      <c r="R18" s="16" t="str">
        <f>IF(R11="","",VLOOKUP(R3,栽培スケジュール!$A:$AN,IF(ISNUMBER(SEARCH("s",R11)),MATCH("s(h)",栽培スケジュール!$1:$1,0),IF(ISNUMBER(SEARCH("o",R11)),MATCH("o(h)",栽培スケジュール!$1:$1,0),MATCH("f(h)",栽培スケジュール!$1:$1,0))),0))</f>
        <v/>
      </c>
      <c r="S18" s="16">
        <f>IF(S11="","",VLOOKUP(S3,栽培スケジュール!$A:$AN,IF(ISNUMBER(SEARCH("s",S11)),MATCH("s(h)",栽培スケジュール!$1:$1,0),IF(ISNUMBER(SEARCH("o",S11)),MATCH("o(h)",栽培スケジュール!$1:$1,0),MATCH("f(h)",栽培スケジュール!$1:$1,0))),0))</f>
        <v>56.55</v>
      </c>
      <c r="T18" s="16">
        <f>IF(T11="","",VLOOKUP(T3,栽培スケジュール!$A:$AN,IF(ISNUMBER(SEARCH("s",T11)),MATCH("s(h)",栽培スケジュール!$1:$1,0),IF(ISNUMBER(SEARCH("o",T11)),MATCH("o(h)",栽培スケジュール!$1:$1,0),MATCH("f(h)",栽培スケジュール!$1:$1,0))),0))</f>
        <v>75.400000000000006</v>
      </c>
      <c r="U18" s="16">
        <f>IF(U11="","",VLOOKUP(U3,栽培スケジュール!$A:$AN,IF(ISNUMBER(SEARCH("s",U11)),MATCH("s(h)",栽培スケジュール!$1:$1,0),IF(ISNUMBER(SEARCH("o",U11)),MATCH("o(h)",栽培スケジュール!$1:$1,0),MATCH("f(h)",栽培スケジュール!$1:$1,0))),0))</f>
        <v>122.52499999999999</v>
      </c>
      <c r="V18" s="16">
        <f>IF(V11="","",VLOOKUP(V3,栽培スケジュール!$A:$AN,IF(ISNUMBER(SEARCH("s",V11)),MATCH("s(h)",栽培スケジュール!$1:$1,0),IF(ISNUMBER(SEARCH("o",V11)),MATCH("o(h)",栽培スケジュール!$1:$1,0),MATCH("f(h)",栽培スケジュール!$1:$1,0))),0))</f>
        <v>122.52499999999999</v>
      </c>
      <c r="W18" s="16" t="str">
        <f>IF(W11="","",VLOOKUP(W3,栽培スケジュール!$A:$AN,IF(ISNUMBER(SEARCH("s",W11)),MATCH("s(h)",栽培スケジュール!$1:$1,0),IF(ISNUMBER(SEARCH("o",W11)),MATCH("o(h)",栽培スケジュール!$1:$1,0),MATCH("f(h)",栽培スケジュール!$1:$1,0))),0))</f>
        <v/>
      </c>
      <c r="X18" s="16" t="str">
        <f>IF(X11="","",VLOOKUP(X3,栽培スケジュール!$A:$AN,IF(ISNUMBER(SEARCH("s",X11)),MATCH("s(h)",栽培スケジュール!$1:$1,0),IF(ISNUMBER(SEARCH("o",X11)),MATCH("o(h)",栽培スケジュール!$1:$1,0),MATCH("f(h)",栽培スケジュール!$1:$1,0))),0))</f>
        <v/>
      </c>
      <c r="Y18" s="16">
        <f>IF(Y11="","",VLOOKUP(Y3,栽培スケジュール!$A:$AN,IF(ISNUMBER(SEARCH("s",Y11)),MATCH("s(h)",栽培スケジュール!$1:$1,0),IF(ISNUMBER(SEARCH("o",Y11)),MATCH("o(h)",栽培スケジュール!$1:$1,0),MATCH("f(h)",栽培スケジュール!$1:$1,0))),0))</f>
        <v>31</v>
      </c>
      <c r="Z18" s="16">
        <f>IF(Z11="","",VLOOKUP(Z3,栽培スケジュール!$A:$AN,IF(ISNUMBER(SEARCH("s",Z11)),MATCH("s(h)",栽培スケジュール!$1:$1,0),IF(ISNUMBER(SEARCH("o",Z11)),MATCH("o(h)",栽培スケジュール!$1:$1,0),MATCH("f(h)",栽培スケジュール!$1:$1,0))),0))</f>
        <v>10</v>
      </c>
      <c r="AA18" s="16">
        <f>IF(AA11="","",VLOOKUP(AA3,栽培スケジュール!$A:$AN,IF(ISNUMBER(SEARCH("s",AA11)),MATCH("s(h)",栽培スケジュール!$1:$1,0),IF(ISNUMBER(SEARCH("o",AA11)),MATCH("o(h)",栽培スケジュール!$1:$1,0),MATCH("f(h)",栽培スケジュール!$1:$1,0))),0))</f>
        <v>58</v>
      </c>
      <c r="AB18" s="16">
        <f>IF(AB11="","",VLOOKUP(AB3,栽培スケジュール!$A:$AN,IF(ISNUMBER(SEARCH("s",AB11)),MATCH("s(h)",栽培スケジュール!$1:$1,0),IF(ISNUMBER(SEARCH("o",AB11)),MATCH("o(h)",栽培スケジュール!$1:$1,0),MATCH("f(h)",栽培スケジュール!$1:$1,0))),0))</f>
        <v>58</v>
      </c>
      <c r="AC18" s="16">
        <f>IF(AC11="","",VLOOKUP(AC3,栽培スケジュール!$A:$AN,IF(ISNUMBER(SEARCH("s",AC11)),MATCH("s(h)",栽培スケジュール!$1:$1,0),IF(ISNUMBER(SEARCH("o",AC11)),MATCH("o(h)",栽培スケジュール!$1:$1,0),MATCH("f(h)",栽培スケジュール!$1:$1,0))),0))</f>
        <v>58</v>
      </c>
      <c r="AD18" s="16">
        <f>IF(AD11="","",VLOOKUP(AD3,栽培スケジュール!$A:$AN,IF(ISNUMBER(SEARCH("s",AD11)),MATCH("s(h)",栽培スケジュール!$1:$1,0),IF(ISNUMBER(SEARCH("o",AD11)),MATCH("o(h)",栽培スケジュール!$1:$1,0),MATCH("f(h)",栽培スケジュール!$1:$1,0))),0))</f>
        <v>58</v>
      </c>
      <c r="AE18" s="16" t="str">
        <f>IF(AE11="","",VLOOKUP(AE3,栽培スケジュール!$A:$AN,IF(ISNUMBER(SEARCH("s",AE11)),MATCH("s(h)",栽培スケジュール!$1:$1,0),IF(ISNUMBER(SEARCH("o",AE11)),MATCH("o(h)",栽培スケジュール!$1:$1,0),MATCH("f(h)",栽培スケジュール!$1:$1,0))),0))</f>
        <v/>
      </c>
      <c r="AF18" s="16" t="str">
        <f>IF(AF11="","",VLOOKUP(AF3,栽培スケジュール!$A:$AN,IF(ISNUMBER(SEARCH("s",AF11)),MATCH("s(h)",栽培スケジュール!$1:$1,0),IF(ISNUMBER(SEARCH("o",AF11)),MATCH("o(h)",栽培スケジュール!$1:$1,0),MATCH("f(h)",栽培スケジュール!$1:$1,0))),0))</f>
        <v/>
      </c>
      <c r="AG18" s="16" t="str">
        <f>IF(AG11="","",VLOOKUP(AG3,栽培スケジュール!$A:$AN,IF(ISNUMBER(SEARCH("s",AG11)),MATCH("s(h)",栽培スケジュール!$1:$1,0),IF(ISNUMBER(SEARCH("o",AG11)),MATCH("o(h)",栽培スケジュール!$1:$1,0),MATCH("f(h)",栽培スケジュール!$1:$1,0))),0))</f>
        <v/>
      </c>
      <c r="AH18" s="16">
        <f>IF(AH11="","",VLOOKUP(AH3,栽培スケジュール!$A:$AN,IF(ISNUMBER(SEARCH("s",AH11)),MATCH("s(h)",栽培スケジュール!$1:$1,0),IF(ISNUMBER(SEARCH("o",AH11)),MATCH("o(h)",栽培スケジュール!$1:$1,0),MATCH("f(h)",栽培スケジュール!$1:$1,0))),0))</f>
        <v>56.55</v>
      </c>
      <c r="AI18" s="16">
        <f>IF(AI11="","",VLOOKUP(AI3,栽培スケジュール!$A:$AN,IF(ISNUMBER(SEARCH("s",AI11)),MATCH("s(h)",栽培スケジュール!$1:$1,0),IF(ISNUMBER(SEARCH("o",AI11)),MATCH("o(h)",栽培スケジュール!$1:$1,0),MATCH("f(h)",栽培スケジュール!$1:$1,0))),0))</f>
        <v>37.700000000000003</v>
      </c>
      <c r="AJ18" s="16">
        <f>IF(AJ11="","",VLOOKUP(AJ3,栽培スケジュール!$A:$AN,IF(ISNUMBER(SEARCH("s",AJ11)),MATCH("s(h)",栽培スケジュール!$1:$1,0),IF(ISNUMBER(SEARCH("o",AJ11)),MATCH("o(h)",栽培スケジュール!$1:$1,0),MATCH("f(h)",栽培スケジュール!$1:$1,0))),0))</f>
        <v>37.700000000000003</v>
      </c>
      <c r="AK18" s="16">
        <f>IF(AK11="","",VLOOKUP(AK3,栽培スケジュール!$A:$AN,IF(ISNUMBER(SEARCH("s",AK11)),MATCH("s(h)",栽培スケジュール!$1:$1,0),IF(ISNUMBER(SEARCH("o",AK11)),MATCH("o(h)",栽培スケジュール!$1:$1,0),MATCH("f(h)",栽培スケジュール!$1:$1,0))),0))</f>
        <v>122.52499999999999</v>
      </c>
      <c r="AL18" s="16">
        <f>IF(AL11="","",VLOOKUP(AL3,栽培スケジュール!$A:$AN,IF(ISNUMBER(SEARCH("s",AL11)),MATCH("s(h)",栽培スケジュール!$1:$1,0),IF(ISNUMBER(SEARCH("o",AL11)),MATCH("o(h)",栽培スケジュール!$1:$1,0),MATCH("f(h)",栽培スケジュール!$1:$1,0))),0))</f>
        <v>122.52499999999999</v>
      </c>
      <c r="AM18" s="16" t="str">
        <f>IF(AM11="","",VLOOKUP(AM3,栽培スケジュール!$A:$AN,IF(ISNUMBER(SEARCH("s",AM11)),MATCH("s(h)",栽培スケジュール!$1:$1,0),IF(ISNUMBER(SEARCH("o",AM11)),MATCH("o(h)",栽培スケジュール!$1:$1,0),MATCH("f(h)",栽培スケジュール!$1:$1,0))),0))</f>
        <v/>
      </c>
      <c r="AN18" s="16" t="str">
        <f>IF(AN11="","",VLOOKUP(AN3,栽培スケジュール!$A:$AN,IF(ISNUMBER(SEARCH("s",AN11)),MATCH("s(h)",栽培スケジュール!$1:$1,0),IF(ISNUMBER(SEARCH("o",AN11)),MATCH("o(h)",栽培スケジュール!$1:$1,0),MATCH("f(h)",栽培スケジュール!$1:$1,0))),0))</f>
        <v/>
      </c>
      <c r="AO18" s="16">
        <f>IF(AO11="","",VLOOKUP(AO3,栽培スケジュール!$A:$AN,IF(ISNUMBER(SEARCH("s",AO11)),MATCH("s(h)",栽培スケジュール!$1:$1,0),IF(ISNUMBER(SEARCH("o",AO11)),MATCH("o(h)",栽培スケジュール!$1:$1,0),MATCH("f(h)",栽培スケジュール!$1:$1,0))),0))</f>
        <v>19.349999999999998</v>
      </c>
      <c r="AP18" s="16">
        <f>IF(AP11="","",VLOOKUP(AP3,栽培スケジュール!$A:$AN,IF(ISNUMBER(SEARCH("s",AP11)),MATCH("s(h)",栽培スケジュール!$1:$1,0),IF(ISNUMBER(SEARCH("o",AP11)),MATCH("o(h)",栽培スケジュール!$1:$1,0),MATCH("f(h)",栽培スケジュール!$1:$1,0))),0))</f>
        <v>12.9</v>
      </c>
      <c r="AQ18" s="16">
        <f>IF(AQ11="","",VLOOKUP(AQ3,栽培スケジュール!$A:$AN,IF(ISNUMBER(SEARCH("s",AQ11)),MATCH("s(h)",栽培スケジュール!$1:$1,0),IF(ISNUMBER(SEARCH("o",AQ11)),MATCH("o(h)",栽培スケジュール!$1:$1,0),MATCH("f(h)",栽培スケジュール!$1:$1,0))),0))</f>
        <v>12.9</v>
      </c>
      <c r="AR18" s="16">
        <f>IF(AR11="","",VLOOKUP(AR3,栽培スケジュール!$A:$AN,IF(ISNUMBER(SEARCH("s",AR11)),MATCH("s(h)",栽培スケジュール!$1:$1,0),IF(ISNUMBER(SEARCH("o",AR11)),MATCH("o(h)",栽培スケジュール!$1:$1,0),MATCH("f(h)",栽培スケジュール!$1:$1,0))),0))</f>
        <v>83.850000000000009</v>
      </c>
      <c r="AS18" s="16" t="str">
        <f>IF(AS11="","",VLOOKUP(AS3,栽培スケジュール!$A:$AN,IF(ISNUMBER(SEARCH("s",AS11)),MATCH("s(h)",栽培スケジュール!$1:$1,0),IF(ISNUMBER(SEARCH("o",AS11)),MATCH("o(h)",栽培スケジュール!$1:$1,0),MATCH("f(h)",栽培スケジュール!$1:$1,0))),0))</f>
        <v/>
      </c>
      <c r="AT18" s="16" t="str">
        <f>IF(AT11="","",VLOOKUP(AT3,栽培スケジュール!$A:$AN,IF(ISNUMBER(SEARCH("s",AT11)),MATCH("s(h)",栽培スケジュール!$1:$1,0),IF(ISNUMBER(SEARCH("o",AT11)),MATCH("o(h)",栽培スケジュール!$1:$1,0),MATCH("f(h)",栽培スケジュール!$1:$1,0))),0))</f>
        <v/>
      </c>
      <c r="AU18" s="16">
        <f>IF(AU11="","",VLOOKUP(AU3,栽培スケジュール!$A:$AN,IF(ISNUMBER(SEARCH("s",AU11)),MATCH("s(h)",栽培スケジュール!$1:$1,0),IF(ISNUMBER(SEARCH("o",AU11)),MATCH("o(h)",栽培スケジュール!$1:$1,0),MATCH("f(h)",栽培スケジュール!$1:$1,0))),0))</f>
        <v>31.799999999999997</v>
      </c>
      <c r="AV18" s="16">
        <f>IF(AV11="","",VLOOKUP(AV3,栽培スケジュール!$A:$AN,IF(ISNUMBER(SEARCH("s",AV11)),MATCH("s(h)",栽培スケジュール!$1:$1,0),IF(ISNUMBER(SEARCH("o",AV11)),MATCH("o(h)",栽培スケジュール!$1:$1,0),MATCH("f(h)",栽培スケジュール!$1:$1,0))),0))</f>
        <v>42.400000000000006</v>
      </c>
      <c r="AW18" s="16">
        <f>IF(AW11="","",VLOOKUP(AW3,栽培スケジュール!$A:$AN,IF(ISNUMBER(SEARCH("s",AW11)),MATCH("s(h)",栽培スケジュール!$1:$1,0),IF(ISNUMBER(SEARCH("o",AW11)),MATCH("o(h)",栽培スケジュール!$1:$1,0),MATCH("f(h)",栽培スケジュール!$1:$1,0))),0))</f>
        <v>68.899999999999991</v>
      </c>
      <c r="AX18" s="16">
        <f>IF(AX11="","",VLOOKUP(AX3,栽培スケジュール!$A:$AN,IF(ISNUMBER(SEARCH("s",AX11)),MATCH("s(h)",栽培スケジュール!$1:$1,0),IF(ISNUMBER(SEARCH("o",AX11)),MATCH("o(h)",栽培スケジュール!$1:$1,0),MATCH("f(h)",栽培スケジュール!$1:$1,0))),0))</f>
        <v>68.899999999999991</v>
      </c>
      <c r="AY18" s="16" t="str">
        <f>IF(AY11="","",VLOOKUP(AY3,栽培スケジュール!$A:$AN,IF(ISNUMBER(SEARCH("s",AY11)),MATCH("s(h)",栽培スケジュール!$1:$1,0),IF(ISNUMBER(SEARCH("o",AY11)),MATCH("o(h)",栽培スケジュール!$1:$1,0),MATCH("f(h)",栽培スケジュール!$1:$1,0))),0))</f>
        <v/>
      </c>
    </row>
    <row r="19" spans="1:52" ht="18" customHeight="1">
      <c r="B19" s="42" t="s">
        <v>94</v>
      </c>
      <c r="C19" s="16" t="str">
        <f>IF(C12="","",VLOOKUP(C4,栽培スケジュール!$A:$AN,IF(ISNUMBER(SEARCH("s",C12)),MATCH("s(h)",栽培スケジュール!$1:$1,0),IF(ISNUMBER(SEARCH("o",C12)),MATCH("o(h)",栽培スケジュール!$1:$1,0),MATCH("f(h)",栽培スケジュール!$1:$1,0))),0))</f>
        <v/>
      </c>
      <c r="D19" s="16" t="str">
        <f>IF(D12="","",VLOOKUP(D4,栽培スケジュール!$A:$AN,IF(ISNUMBER(SEARCH("s",D12)),MATCH("s(h)",栽培スケジュール!$1:$1,0),IF(ISNUMBER(SEARCH("o",D12)),MATCH("o(h)",栽培スケジュール!$1:$1,0),MATCH("f(h)",栽培スケジュール!$1:$1,0))),0))</f>
        <v/>
      </c>
      <c r="E19" s="16" t="str">
        <f>IF(E12="","",VLOOKUP(E4,栽培スケジュール!$A:$AN,IF(ISNUMBER(SEARCH("s",E12)),MATCH("s(h)",栽培スケジュール!$1:$1,0),IF(ISNUMBER(SEARCH("o",E12)),MATCH("o(h)",栽培スケジュール!$1:$1,0),MATCH("f(h)",栽培スケジュール!$1:$1,0))),0))</f>
        <v/>
      </c>
      <c r="F19" s="16" t="str">
        <f>IF(F12="","",VLOOKUP(F4,栽培スケジュール!$A:$AN,IF(ISNUMBER(SEARCH("s",F12)),MATCH("s(h)",栽培スケジュール!$1:$1,0),IF(ISNUMBER(SEARCH("o",F12)),MATCH("o(h)",栽培スケジュール!$1:$1,0),MATCH("f(h)",栽培スケジュール!$1:$1,0))),0))</f>
        <v/>
      </c>
      <c r="G19" s="16">
        <f>IF(G12="","",VLOOKUP(G4,栽培スケジュール!$A:$AN,IF(ISNUMBER(SEARCH("s",G12)),MATCH("s(h)",栽培スケジュール!$1:$1,0),IF(ISNUMBER(SEARCH("o",G12)),MATCH("o(h)",栽培スケジュール!$1:$1,0),MATCH("f(h)",栽培スケジュール!$1:$1,0))),0))</f>
        <v>56.55</v>
      </c>
      <c r="H19" s="16">
        <f>IF(H12="","",VLOOKUP(H4,栽培スケジュール!$A:$AN,IF(ISNUMBER(SEARCH("s",H12)),MATCH("s(h)",栽培スケジュール!$1:$1,0),IF(ISNUMBER(SEARCH("o",H12)),MATCH("o(h)",栽培スケジュール!$1:$1,0),MATCH("f(h)",栽培スケジュール!$1:$1,0))),0))</f>
        <v>75.400000000000006</v>
      </c>
      <c r="I19" s="16">
        <f>IF(I12="","",VLOOKUP(I4,栽培スケジュール!$A:$AN,IF(ISNUMBER(SEARCH("s",I12)),MATCH("s(h)",栽培スケジュール!$1:$1,0),IF(ISNUMBER(SEARCH("o",I12)),MATCH("o(h)",栽培スケジュール!$1:$1,0),MATCH("f(h)",栽培スケジュール!$1:$1,0))),0))</f>
        <v>122.52499999999999</v>
      </c>
      <c r="J19" s="16">
        <f>IF(J12="","",VLOOKUP(J4,栽培スケジュール!$A:$AN,IF(ISNUMBER(SEARCH("s",J12)),MATCH("s(h)",栽培スケジュール!$1:$1,0),IF(ISNUMBER(SEARCH("o",J12)),MATCH("o(h)",栽培スケジュール!$1:$1,0),MATCH("f(h)",栽培スケジュール!$1:$1,0))),0))</f>
        <v>122.52499999999999</v>
      </c>
      <c r="K19" s="16" t="str">
        <f>IF(K12="","",VLOOKUP(K4,栽培スケジュール!$A:$AN,IF(ISNUMBER(SEARCH("s",K12)),MATCH("s(h)",栽培スケジュール!$1:$1,0),IF(ISNUMBER(SEARCH("o",K12)),MATCH("o(h)",栽培スケジュール!$1:$1,0),MATCH("f(h)",栽培スケジュール!$1:$1,0))),0))</f>
        <v/>
      </c>
      <c r="L19" s="16" t="str">
        <f>IF(L12="","",VLOOKUP(L4,栽培スケジュール!$A:$AN,IF(ISNUMBER(SEARCH("s",L12)),MATCH("s(h)",栽培スケジュール!$1:$1,0),IF(ISNUMBER(SEARCH("o",L12)),MATCH("o(h)",栽培スケジュール!$1:$1,0),MATCH("f(h)",栽培スケジュール!$1:$1,0))),0))</f>
        <v/>
      </c>
      <c r="M19" s="16">
        <f>IF(M12="","",VLOOKUP(M4,栽培スケジュール!$A:$AN,IF(ISNUMBER(SEARCH("s",M12)),MATCH("s(h)",栽培スケジュール!$1:$1,0),IF(ISNUMBER(SEARCH("o",M12)),MATCH("o(h)",栽培スケジュール!$1:$1,0),MATCH("f(h)",栽培スケジュール!$1:$1,0))),0))</f>
        <v>31.799999999999997</v>
      </c>
      <c r="N19" s="16">
        <f>IF(N12="","",VLOOKUP(N4,栽培スケジュール!$A:$AN,IF(ISNUMBER(SEARCH("s",N12)),MATCH("s(h)",栽培スケジュール!$1:$1,0),IF(ISNUMBER(SEARCH("o",N12)),MATCH("o(h)",栽培スケジュール!$1:$1,0),MATCH("f(h)",栽培スケジュール!$1:$1,0))),0))</f>
        <v>42.400000000000006</v>
      </c>
      <c r="O19" s="16">
        <f>IF(O12="","",VLOOKUP(O4,栽培スケジュール!$A:$AN,IF(ISNUMBER(SEARCH("s",O12)),MATCH("s(h)",栽培スケジュール!$1:$1,0),IF(ISNUMBER(SEARCH("o",O12)),MATCH("o(h)",栽培スケジュール!$1:$1,0),MATCH("f(h)",栽培スケジュール!$1:$1,0))),0))</f>
        <v>68.899999999999991</v>
      </c>
      <c r="P19" s="16">
        <f>IF(P12="","",VLOOKUP(P4,栽培スケジュール!$A:$AN,IF(ISNUMBER(SEARCH("s",P12)),MATCH("s(h)",栽培スケジュール!$1:$1,0),IF(ISNUMBER(SEARCH("o",P12)),MATCH("o(h)",栽培スケジュール!$1:$1,0),MATCH("f(h)",栽培スケジュール!$1:$1,0))),0))</f>
        <v>68.899999999999991</v>
      </c>
      <c r="Q19" s="16" t="str">
        <f>IF(Q12="","",VLOOKUP(Q4,栽培スケジュール!$A:$AN,IF(ISNUMBER(SEARCH("s",Q12)),MATCH("s(h)",栽培スケジュール!$1:$1,0),IF(ISNUMBER(SEARCH("o",Q12)),MATCH("o(h)",栽培スケジュール!$1:$1,0),MATCH("f(h)",栽培スケジュール!$1:$1,0))),0))</f>
        <v/>
      </c>
      <c r="R19" s="16" t="str">
        <f>IF(R12="","",VLOOKUP(R4,栽培スケジュール!$A:$AN,IF(ISNUMBER(SEARCH("s",R12)),MATCH("s(h)",栽培スケジュール!$1:$1,0),IF(ISNUMBER(SEARCH("o",R12)),MATCH("o(h)",栽培スケジュール!$1:$1,0),MATCH("f(h)",栽培スケジュール!$1:$1,0))),0))</f>
        <v/>
      </c>
      <c r="S19" s="16">
        <f>IF(S12="","",VLOOKUP(S4,栽培スケジュール!$A:$AN,IF(ISNUMBER(SEARCH("s",S12)),MATCH("s(h)",栽培スケジュール!$1:$1,0),IF(ISNUMBER(SEARCH("o",S12)),MATCH("o(h)",栽培スケジュール!$1:$1,0),MATCH("f(h)",栽培スケジュール!$1:$1,0))),0))</f>
        <v>16.3</v>
      </c>
      <c r="T19" s="16">
        <f>IF(T12="","",VLOOKUP(T4,栽培スケジュール!$A:$AN,IF(ISNUMBER(SEARCH("s",T12)),MATCH("s(h)",栽培スケジュール!$1:$1,0),IF(ISNUMBER(SEARCH("o",T12)),MATCH("o(h)",栽培スケジュール!$1:$1,0),MATCH("f(h)",栽培スケジュール!$1:$1,0))),0))</f>
        <v>16.3</v>
      </c>
      <c r="U19" s="16">
        <f>IF(U12="","",VLOOKUP(U4,栽培スケジュール!$A:$AN,IF(ISNUMBER(SEARCH("s",U12)),MATCH("s(h)",栽培スケジュール!$1:$1,0),IF(ISNUMBER(SEARCH("o",U12)),MATCH("o(h)",栽培スケジュール!$1:$1,0),MATCH("f(h)",栽培スケジュール!$1:$1,0))),0))</f>
        <v>34.100000000000009</v>
      </c>
      <c r="V19" s="16">
        <f>IF(V12="","",VLOOKUP(V4,栽培スケジュール!$A:$AN,IF(ISNUMBER(SEARCH("s",V12)),MATCH("s(h)",栽培スケジュール!$1:$1,0),IF(ISNUMBER(SEARCH("o",V12)),MATCH("o(h)",栽培スケジュール!$1:$1,0),MATCH("f(h)",栽培スケジュール!$1:$1,0))),0))</f>
        <v>34.100000000000009</v>
      </c>
      <c r="W19" s="16">
        <f>IF(W12="","",VLOOKUP(W4,栽培スケジュール!$A:$AN,IF(ISNUMBER(SEARCH("s",W12)),MATCH("s(h)",栽培スケジュール!$1:$1,0),IF(ISNUMBER(SEARCH("o",W12)),MATCH("o(h)",栽培スケジュール!$1:$1,0),MATCH("f(h)",栽培スケジュール!$1:$1,0))),0))</f>
        <v>35</v>
      </c>
      <c r="X19" s="16" t="str">
        <f>IF(X12="","",VLOOKUP(X4,栽培スケジュール!$A:$AN,IF(ISNUMBER(SEARCH("s",X12)),MATCH("s(h)",栽培スケジュール!$1:$1,0),IF(ISNUMBER(SEARCH("o",X12)),MATCH("o(h)",栽培スケジュール!$1:$1,0),MATCH("f(h)",栽培スケジュール!$1:$1,0))),0))</f>
        <v/>
      </c>
      <c r="Y19" s="16" t="str">
        <f>IF(Y12="","",VLOOKUP(Y4,栽培スケジュール!$A:$AN,IF(ISNUMBER(SEARCH("s",Y12)),MATCH("s(h)",栽培スケジュール!$1:$1,0),IF(ISNUMBER(SEARCH("o",Y12)),MATCH("o(h)",栽培スケジュール!$1:$1,0),MATCH("f(h)",栽培スケジュール!$1:$1,0))),0))</f>
        <v/>
      </c>
      <c r="Z19" s="16">
        <f>IF(Z12="","",VLOOKUP(Z4,栽培スケジュール!$A:$AN,IF(ISNUMBER(SEARCH("s",Z12)),MATCH("s(h)",栽培スケジュール!$1:$1,0),IF(ISNUMBER(SEARCH("o",Z12)),MATCH("o(h)",栽培スケジュール!$1:$1,0),MATCH("f(h)",栽培スケジュール!$1:$1,0))),0))</f>
        <v>48.9</v>
      </c>
      <c r="AA19" s="16">
        <f>IF(AA12="","",VLOOKUP(AA4,栽培スケジュール!$A:$AN,IF(ISNUMBER(SEARCH("s",AA12)),MATCH("s(h)",栽培スケジュール!$1:$1,0),IF(ISNUMBER(SEARCH("o",AA12)),MATCH("o(h)",栽培スケジュール!$1:$1,0),MATCH("f(h)",栽培スケジュール!$1:$1,0))),0))</f>
        <v>48.9</v>
      </c>
      <c r="AB19" s="16">
        <f>IF(AB12="","",VLOOKUP(AB4,栽培スケジュール!$A:$AN,IF(ISNUMBER(SEARCH("s",AB12)),MATCH("s(h)",栽培スケジュール!$1:$1,0),IF(ISNUMBER(SEARCH("o",AB12)),MATCH("o(h)",栽培スケジュール!$1:$1,0),MATCH("f(h)",栽培スケジュール!$1:$1,0))),0))</f>
        <v>65.2</v>
      </c>
      <c r="AC19" s="16">
        <f>IF(AC12="","",VLOOKUP(AC4,栽培スケジュール!$A:$AN,IF(ISNUMBER(SEARCH("s",AC12)),MATCH("s(h)",栽培スケジュール!$1:$1,0),IF(ISNUMBER(SEARCH("o",AC12)),MATCH("o(h)",栽培スケジュール!$1:$1,0),MATCH("f(h)",栽培スケジュール!$1:$1,0))),0))</f>
        <v>65.2</v>
      </c>
      <c r="AD19" s="16">
        <f>IF(AD12="","",VLOOKUP(AD4,栽培スケジュール!$A:$AN,IF(ISNUMBER(SEARCH("s",AD12)),MATCH("s(h)",栽培スケジュール!$1:$1,0),IF(ISNUMBER(SEARCH("o",AD12)),MATCH("o(h)",栽培スケジュール!$1:$1,0),MATCH("f(h)",栽培スケジュール!$1:$1,0))),0))</f>
        <v>141.26666666666668</v>
      </c>
      <c r="AE19" s="16">
        <f>IF(AE12="","",VLOOKUP(AE4,栽培スケジュール!$A:$AN,IF(ISNUMBER(SEARCH("s",AE12)),MATCH("s(h)",栽培スケジュール!$1:$1,0),IF(ISNUMBER(SEARCH("o",AE12)),MATCH("o(h)",栽培スケジュール!$1:$1,0),MATCH("f(h)",栽培スケジュール!$1:$1,0))),0))</f>
        <v>141.26666666666668</v>
      </c>
      <c r="AF19" s="16">
        <f>IF(AF12="","",VLOOKUP(AF4,栽培スケジュール!$A:$AN,IF(ISNUMBER(SEARCH("s",AF12)),MATCH("s(h)",栽培スケジュール!$1:$1,0),IF(ISNUMBER(SEARCH("o",AF12)),MATCH("o(h)",栽培スケジュール!$1:$1,0),MATCH("f(h)",栽培スケジュール!$1:$1,0))),0))</f>
        <v>141.26666666666668</v>
      </c>
      <c r="AG19" s="16" t="str">
        <f>IF(AG12="","",VLOOKUP(AG4,栽培スケジュール!$A:$AN,IF(ISNUMBER(SEARCH("s",AG12)),MATCH("s(h)",栽培スケジュール!$1:$1,0),IF(ISNUMBER(SEARCH("o",AG12)),MATCH("o(h)",栽培スケジュール!$1:$1,0),MATCH("f(h)",栽培スケジュール!$1:$1,0))),0))</f>
        <v/>
      </c>
      <c r="AH19" s="16" t="str">
        <f>IF(AH12="","",VLOOKUP(AH4,栽培スケジュール!$A:$AN,IF(ISNUMBER(SEARCH("s",AH12)),MATCH("s(h)",栽培スケジュール!$1:$1,0),IF(ISNUMBER(SEARCH("o",AH12)),MATCH("o(h)",栽培スケジュール!$1:$1,0),MATCH("f(h)",栽培スケジュール!$1:$1,0))),0))</f>
        <v/>
      </c>
      <c r="AI19" s="16" t="str">
        <f>IF(AI12="","",VLOOKUP(AI4,栽培スケジュール!$A:$AN,IF(ISNUMBER(SEARCH("s",AI12)),MATCH("s(h)",栽培スケジュール!$1:$1,0),IF(ISNUMBER(SEARCH("o",AI12)),MATCH("o(h)",栽培スケジュール!$1:$1,0),MATCH("f(h)",栽培スケジュール!$1:$1,0))),0))</f>
        <v/>
      </c>
      <c r="AJ19" s="16">
        <f>IF(AJ12="","",VLOOKUP(AJ4,栽培スケジュール!$A:$AN,IF(ISNUMBER(SEARCH("s",AJ12)),MATCH("s(h)",栽培スケジュール!$1:$1,0),IF(ISNUMBER(SEARCH("o",AJ12)),MATCH("o(h)",栽培スケジュール!$1:$1,0),MATCH("f(h)",栽培スケジュール!$1:$1,0))),0))</f>
        <v>28.274999999999999</v>
      </c>
      <c r="AK19" s="16">
        <f>IF(AK12="","",VLOOKUP(AK4,栽培スケジュール!$A:$AN,IF(ISNUMBER(SEARCH("s",AK12)),MATCH("s(h)",栽培スケジュール!$1:$1,0),IF(ISNUMBER(SEARCH("o",AK12)),MATCH("o(h)",栽培スケジュール!$1:$1,0),MATCH("f(h)",栽培スケジュール!$1:$1,0))),0))</f>
        <v>28.274999999999999</v>
      </c>
      <c r="AL19" s="16">
        <f>IF(AL12="","",VLOOKUP(AL4,栽培スケジュール!$A:$AN,IF(ISNUMBER(SEARCH("s",AL12)),MATCH("s(h)",栽培スケジュール!$1:$1,0),IF(ISNUMBER(SEARCH("o",AL12)),MATCH("o(h)",栽培スケジュール!$1:$1,0),MATCH("f(h)",栽培スケジュール!$1:$1,0))),0))</f>
        <v>75.400000000000006</v>
      </c>
      <c r="AM19" s="16">
        <f>IF(AM12="","",VLOOKUP(AM4,栽培スケジュール!$A:$AN,IF(ISNUMBER(SEARCH("s",AM12)),MATCH("s(h)",栽培スケジュール!$1:$1,0),IF(ISNUMBER(SEARCH("o",AM12)),MATCH("o(h)",栽培スケジュール!$1:$1,0),MATCH("f(h)",栽培スケジュール!$1:$1,0))),0))</f>
        <v>122.52499999999999</v>
      </c>
      <c r="AN19" s="16">
        <f>IF(AN12="","",VLOOKUP(AN4,栽培スケジュール!$A:$AN,IF(ISNUMBER(SEARCH("s",AN12)),MATCH("s(h)",栽培スケジュール!$1:$1,0),IF(ISNUMBER(SEARCH("o",AN12)),MATCH("o(h)",栽培スケジュール!$1:$1,0),MATCH("f(h)",栽培スケジュール!$1:$1,0))),0))</f>
        <v>122.52499999999999</v>
      </c>
      <c r="AO19" s="16" t="str">
        <f>IF(AO12="","",VLOOKUP(AO4,栽培スケジュール!$A:$AN,IF(ISNUMBER(SEARCH("s",AO12)),MATCH("s(h)",栽培スケジュール!$1:$1,0),IF(ISNUMBER(SEARCH("o",AO12)),MATCH("o(h)",栽培スケジュール!$1:$1,0),MATCH("f(h)",栽培スケジュール!$1:$1,0))),0))</f>
        <v/>
      </c>
      <c r="AP19" s="16" t="str">
        <f>IF(AP12="","",VLOOKUP(AP4,栽培スケジュール!$A:$AN,IF(ISNUMBER(SEARCH("s",AP12)),MATCH("s(h)",栽培スケジュール!$1:$1,0),IF(ISNUMBER(SEARCH("o",AP12)),MATCH("o(h)",栽培スケジュール!$1:$1,0),MATCH("f(h)",栽培スケジュール!$1:$1,0))),0))</f>
        <v/>
      </c>
      <c r="AQ19" s="16">
        <f>IF(AQ12="","",VLOOKUP(AQ4,栽培スケジュール!$A:$AN,IF(ISNUMBER(SEARCH("s",AQ12)),MATCH("s(h)",栽培スケジュール!$1:$1,0),IF(ISNUMBER(SEARCH("o",AQ12)),MATCH("o(h)",栽培スケジュール!$1:$1,0),MATCH("f(h)",栽培スケジュール!$1:$1,0))),0))</f>
        <v>16.3</v>
      </c>
      <c r="AR19" s="16">
        <f>IF(AR12="","",VLOOKUP(AR4,栽培スケジュール!$A:$AN,IF(ISNUMBER(SEARCH("s",AR12)),MATCH("s(h)",栽培スケジュール!$1:$1,0),IF(ISNUMBER(SEARCH("o",AR12)),MATCH("o(h)",栽培スケジュール!$1:$1,0),MATCH("f(h)",栽培スケジュール!$1:$1,0))),0))</f>
        <v>16.3</v>
      </c>
      <c r="AS19" s="16">
        <f>IF(AS12="","",VLOOKUP(AS4,栽培スケジュール!$A:$AN,IF(ISNUMBER(SEARCH("s",AS12)),MATCH("s(h)",栽培スケジュール!$1:$1,0),IF(ISNUMBER(SEARCH("o",AS12)),MATCH("o(h)",栽培スケジュール!$1:$1,0),MATCH("f(h)",栽培スケジュール!$1:$1,0))),0))</f>
        <v>34.100000000000009</v>
      </c>
      <c r="AT19" s="16">
        <f>IF(AT12="","",VLOOKUP(AT4,栽培スケジュール!$A:$AN,IF(ISNUMBER(SEARCH("s",AT12)),MATCH("s(h)",栽培スケジュール!$1:$1,0),IF(ISNUMBER(SEARCH("o",AT12)),MATCH("o(h)",栽培スケジュール!$1:$1,0),MATCH("f(h)",栽培スケジュール!$1:$1,0))),0))</f>
        <v>34.100000000000009</v>
      </c>
      <c r="AU19" s="16">
        <f>IF(AU12="","",VLOOKUP(AU4,栽培スケジュール!$A:$AN,IF(ISNUMBER(SEARCH("s",AU12)),MATCH("s(h)",栽培スケジュール!$1:$1,0),IF(ISNUMBER(SEARCH("o",AU12)),MATCH("o(h)",栽培スケジュール!$1:$1,0),MATCH("f(h)",栽培スケジュール!$1:$1,0))),0))</f>
        <v>35</v>
      </c>
      <c r="AV19" s="16" t="str">
        <f>IF(AV12="","",VLOOKUP(AV4,栽培スケジュール!$A:$AN,IF(ISNUMBER(SEARCH("s",AV12)),MATCH("s(h)",栽培スケジュール!$1:$1,0),IF(ISNUMBER(SEARCH("o",AV12)),MATCH("o(h)",栽培スケジュール!$1:$1,0),MATCH("f(h)",栽培スケジュール!$1:$1,0))),0))</f>
        <v/>
      </c>
      <c r="AW19" s="16" t="str">
        <f>IF(AW12="","",VLOOKUP(AW4,栽培スケジュール!$A:$AN,IF(ISNUMBER(SEARCH("s",AW12)),MATCH("s(h)",栽培スケジュール!$1:$1,0),IF(ISNUMBER(SEARCH("o",AW12)),MATCH("o(h)",栽培スケジュール!$1:$1,0),MATCH("f(h)",栽培スケジュール!$1:$1,0))),0))</f>
        <v/>
      </c>
      <c r="AX19" s="16" t="str">
        <f>IF(AX12="","",VLOOKUP(AX4,栽培スケジュール!$A:$AN,IF(ISNUMBER(SEARCH("s",AX12)),MATCH("s(h)",栽培スケジュール!$1:$1,0),IF(ISNUMBER(SEARCH("o",AX12)),MATCH("o(h)",栽培スケジュール!$1:$1,0),MATCH("f(h)",栽培スケジュール!$1:$1,0))),0))</f>
        <v/>
      </c>
      <c r="AY19" s="16" t="str">
        <f>IF(AY12="","",VLOOKUP(AY4,栽培スケジュール!$A:$AN,IF(ISNUMBER(SEARCH("s",AY12)),MATCH("s(h)",栽培スケジュール!$1:$1,0),IF(ISNUMBER(SEARCH("o",AY12)),MATCH("o(h)",栽培スケジュール!$1:$1,0),MATCH("f(h)",栽培スケジュール!$1:$1,0))),0))</f>
        <v/>
      </c>
    </row>
    <row r="20" spans="1:52" ht="18" customHeight="1">
      <c r="B20" s="42" t="s">
        <v>95</v>
      </c>
      <c r="C20" s="16" t="str">
        <f>IF(C13="","",VLOOKUP(C5,栽培スケジュール!$A:$AN,IF(ISNUMBER(SEARCH("s",C13)),MATCH("s(h)",栽培スケジュール!$1:$1,0),IF(ISNUMBER(SEARCH("o",C13)),MATCH("o(h)",栽培スケジュール!$1:$1,0),MATCH("f(h)",栽培スケジュール!$1:$1,0))),0))</f>
        <v/>
      </c>
      <c r="D20" s="16" t="str">
        <f>IF(D13="","",VLOOKUP(D5,栽培スケジュール!$A:$AN,IF(ISNUMBER(SEARCH("s",D13)),MATCH("s(h)",栽培スケジュール!$1:$1,0),IF(ISNUMBER(SEARCH("o",D13)),MATCH("o(h)",栽培スケジュール!$1:$1,0),MATCH("f(h)",栽培スケジュール!$1:$1,0))),0))</f>
        <v/>
      </c>
      <c r="E20" s="16" t="str">
        <f>IF(E13="","",VLOOKUP(E5,栽培スケジュール!$A:$AN,IF(ISNUMBER(SEARCH("s",E13)),MATCH("s(h)",栽培スケジュール!$1:$1,0),IF(ISNUMBER(SEARCH("o",E13)),MATCH("o(h)",栽培スケジュール!$1:$1,0),MATCH("f(h)",栽培スケジュール!$1:$1,0))),0))</f>
        <v/>
      </c>
      <c r="F20" s="16" t="str">
        <f>IF(F13="","",VLOOKUP(F5,栽培スケジュール!$A:$AN,IF(ISNUMBER(SEARCH("s",F13)),MATCH("s(h)",栽培スケジュール!$1:$1,0),IF(ISNUMBER(SEARCH("o",F13)),MATCH("o(h)",栽培スケジュール!$1:$1,0),MATCH("f(h)",栽培スケジュール!$1:$1,0))),0))</f>
        <v/>
      </c>
      <c r="G20" s="16" t="str">
        <f>IF(G13="","",VLOOKUP(G5,栽培スケジュール!$A:$AN,IF(ISNUMBER(SEARCH("s",G13)),MATCH("s(h)",栽培スケジュール!$1:$1,0),IF(ISNUMBER(SEARCH("o",G13)),MATCH("o(h)",栽培スケジュール!$1:$1,0),MATCH("f(h)",栽培スケジュール!$1:$1,0))),0))</f>
        <v/>
      </c>
      <c r="H20" s="16" t="str">
        <f>IF(H13="","",VLOOKUP(H5,栽培スケジュール!$A:$AN,IF(ISNUMBER(SEARCH("s",H13)),MATCH("s(h)",栽培スケジュール!$1:$1,0),IF(ISNUMBER(SEARCH("o",H13)),MATCH("o(h)",栽培スケジュール!$1:$1,0),MATCH("f(h)",栽培スケジュール!$1:$1,0))),0))</f>
        <v/>
      </c>
      <c r="I20" s="16">
        <f>IF(I13="","",VLOOKUP(I5,栽培スケジュール!$A:$AN,IF(ISNUMBER(SEARCH("s",I13)),MATCH("s(h)",栽培スケジュール!$1:$1,0),IF(ISNUMBER(SEARCH("o",I13)),MATCH("o(h)",栽培スケジュール!$1:$1,0),MATCH("f(h)",栽培スケジュール!$1:$1,0))),0))</f>
        <v>56.55</v>
      </c>
      <c r="J20" s="16">
        <f>IF(J13="","",VLOOKUP(J5,栽培スケジュール!$A:$AN,IF(ISNUMBER(SEARCH("s",J13)),MATCH("s(h)",栽培スケジュール!$1:$1,0),IF(ISNUMBER(SEARCH("o",J13)),MATCH("o(h)",栽培スケジュール!$1:$1,0),MATCH("f(h)",栽培スケジュール!$1:$1,0))),0))</f>
        <v>75.400000000000006</v>
      </c>
      <c r="K20" s="16">
        <f>IF(K13="","",VLOOKUP(K5,栽培スケジュール!$A:$AN,IF(ISNUMBER(SEARCH("s",K13)),MATCH("s(h)",栽培スケジュール!$1:$1,0),IF(ISNUMBER(SEARCH("o",K13)),MATCH("o(h)",栽培スケジュール!$1:$1,0),MATCH("f(h)",栽培スケジュール!$1:$1,0))),0))</f>
        <v>122.52499999999999</v>
      </c>
      <c r="L20" s="16">
        <f>IF(L13="","",VLOOKUP(L5,栽培スケジュール!$A:$AN,IF(ISNUMBER(SEARCH("s",L13)),MATCH("s(h)",栽培スケジュール!$1:$1,0),IF(ISNUMBER(SEARCH("o",L13)),MATCH("o(h)",栽培スケジュール!$1:$1,0),MATCH("f(h)",栽培スケジュール!$1:$1,0))),0))</f>
        <v>122.52499999999999</v>
      </c>
      <c r="M20" s="16" t="str">
        <f>IF(M13="","",VLOOKUP(M5,栽培スケジュール!$A:$AN,IF(ISNUMBER(SEARCH("s",M13)),MATCH("s(h)",栽培スケジュール!$1:$1,0),IF(ISNUMBER(SEARCH("o",M13)),MATCH("o(h)",栽培スケジュール!$1:$1,0),MATCH("f(h)",栽培スケジュール!$1:$1,0))),0))</f>
        <v/>
      </c>
      <c r="N20" s="16" t="str">
        <f>IF(N13="","",VLOOKUP(N5,栽培スケジュール!$A:$AN,IF(ISNUMBER(SEARCH("s",N13)),MATCH("s(h)",栽培スケジュール!$1:$1,0),IF(ISNUMBER(SEARCH("o",N13)),MATCH("o(h)",栽培スケジュール!$1:$1,0),MATCH("f(h)",栽培スケジュール!$1:$1,0))),0))</f>
        <v/>
      </c>
      <c r="O20" s="16" t="str">
        <f>IF(O13="","",VLOOKUP(O5,栽培スケジュール!$A:$AN,IF(ISNUMBER(SEARCH("s",O13)),MATCH("s(h)",栽培スケジュール!$1:$1,0),IF(ISNUMBER(SEARCH("o",O13)),MATCH("o(h)",栽培スケジュール!$1:$1,0),MATCH("f(h)",栽培スケジュール!$1:$1,0))),0))</f>
        <v/>
      </c>
      <c r="P20" s="16" t="str">
        <f>IF(P13="","",VLOOKUP(P5,栽培スケジュール!$A:$AN,IF(ISNUMBER(SEARCH("s",P13)),MATCH("s(h)",栽培スケジュール!$1:$1,0),IF(ISNUMBER(SEARCH("o",P13)),MATCH("o(h)",栽培スケジュール!$1:$1,0),MATCH("f(h)",栽培スケジュール!$1:$1,0))),0))</f>
        <v/>
      </c>
      <c r="Q20" s="16">
        <f>IF(Q13="","",VLOOKUP(Q5,栽培スケジュール!$A:$AN,IF(ISNUMBER(SEARCH("s",Q13)),MATCH("s(h)",栽培スケジュール!$1:$1,0),IF(ISNUMBER(SEARCH("o",Q13)),MATCH("o(h)",栽培スケジュール!$1:$1,0),MATCH("f(h)",栽培スケジュール!$1:$1,0))),0))</f>
        <v>19.349999999999998</v>
      </c>
      <c r="R20" s="16">
        <f>IF(R13="","",VLOOKUP(R5,栽培スケジュール!$A:$AN,IF(ISNUMBER(SEARCH("s",R13)),MATCH("s(h)",栽培スケジュール!$1:$1,0),IF(ISNUMBER(SEARCH("o",R13)),MATCH("o(h)",栽培スケジュール!$1:$1,0),MATCH("f(h)",栽培スケジュール!$1:$1,0))),0))</f>
        <v>12.9</v>
      </c>
      <c r="S20" s="16">
        <f>IF(S13="","",VLOOKUP(S5,栽培スケジュール!$A:$AN,IF(ISNUMBER(SEARCH("s",S13)),MATCH("s(h)",栽培スケジュール!$1:$1,0),IF(ISNUMBER(SEARCH("o",S13)),MATCH("o(h)",栽培スケジュール!$1:$1,0),MATCH("f(h)",栽培スケジュール!$1:$1,0))),0))</f>
        <v>12.9</v>
      </c>
      <c r="T20" s="16">
        <f>IF(T13="","",VLOOKUP(T5,栽培スケジュール!$A:$AN,IF(ISNUMBER(SEARCH("s",T13)),MATCH("s(h)",栽培スケジュール!$1:$1,0),IF(ISNUMBER(SEARCH("o",T13)),MATCH("o(h)",栽培スケジュール!$1:$1,0),MATCH("f(h)",栽培スケジュール!$1:$1,0))),0))</f>
        <v>83.850000000000009</v>
      </c>
      <c r="U20" s="16" t="str">
        <f>IF(U13="","",VLOOKUP(U5,栽培スケジュール!$A:$AN,IF(ISNUMBER(SEARCH("s",U13)),MATCH("s(h)",栽培スケジュール!$1:$1,0),IF(ISNUMBER(SEARCH("o",U13)),MATCH("o(h)",栽培スケジュール!$1:$1,0),MATCH("f(h)",栽培スケジュール!$1:$1,0))),0))</f>
        <v/>
      </c>
      <c r="V20" s="16" t="str">
        <f>IF(V13="","",VLOOKUP(V5,栽培スケジュール!$A:$AN,IF(ISNUMBER(SEARCH("s",V13)),MATCH("s(h)",栽培スケジュール!$1:$1,0),IF(ISNUMBER(SEARCH("o",V13)),MATCH("o(h)",栽培スケジュール!$1:$1,0),MATCH("f(h)",栽培スケジュール!$1:$1,0))),0))</f>
        <v/>
      </c>
      <c r="W20" s="16">
        <f>IF(W13="","",VLOOKUP(W5,栽培スケジュール!$A:$AN,IF(ISNUMBER(SEARCH("s",W13)),MATCH("s(h)",栽培スケジュール!$1:$1,0),IF(ISNUMBER(SEARCH("o",W13)),MATCH("o(h)",栽培スケジュール!$1:$1,0),MATCH("f(h)",栽培スケジュール!$1:$1,0))),0))</f>
        <v>31.799999999999997</v>
      </c>
      <c r="X20" s="16">
        <f>IF(X13="","",VLOOKUP(X5,栽培スケジュール!$A:$AN,IF(ISNUMBER(SEARCH("s",X13)),MATCH("s(h)",栽培スケジュール!$1:$1,0),IF(ISNUMBER(SEARCH("o",X13)),MATCH("o(h)",栽培スケジュール!$1:$1,0),MATCH("f(h)",栽培スケジュール!$1:$1,0))),0))</f>
        <v>42.400000000000006</v>
      </c>
      <c r="Y20" s="16">
        <f>IF(Y13="","",VLOOKUP(Y5,栽培スケジュール!$A:$AN,IF(ISNUMBER(SEARCH("s",Y13)),MATCH("s(h)",栽培スケジュール!$1:$1,0),IF(ISNUMBER(SEARCH("o",Y13)),MATCH("o(h)",栽培スケジュール!$1:$1,0),MATCH("f(h)",栽培スケジュール!$1:$1,0))),0))</f>
        <v>68.899999999999991</v>
      </c>
      <c r="Z20" s="16">
        <f>IF(Z13="","",VLOOKUP(Z5,栽培スケジュール!$A:$AN,IF(ISNUMBER(SEARCH("s",Z13)),MATCH("s(h)",栽培スケジュール!$1:$1,0),IF(ISNUMBER(SEARCH("o",Z13)),MATCH("o(h)",栽培スケジュール!$1:$1,0),MATCH("f(h)",栽培スケジュール!$1:$1,0))),0))</f>
        <v>68.899999999999991</v>
      </c>
      <c r="AA20" s="16" t="str">
        <f>IF(AA13="","",VLOOKUP(AA5,栽培スケジュール!$A:$AN,IF(ISNUMBER(SEARCH("s",AA13)),MATCH("s(h)",栽培スケジュール!$1:$1,0),IF(ISNUMBER(SEARCH("o",AA13)),MATCH("o(h)",栽培スケジュール!$1:$1,0),MATCH("f(h)",栽培スケジュール!$1:$1,0))),0))</f>
        <v/>
      </c>
      <c r="AB20" s="16" t="str">
        <f>IF(AB13="","",VLOOKUP(AB5,栽培スケジュール!$A:$AN,IF(ISNUMBER(SEARCH("s",AB13)),MATCH("s(h)",栽培スケジュール!$1:$1,0),IF(ISNUMBER(SEARCH("o",AB13)),MATCH("o(h)",栽培スケジュール!$1:$1,0),MATCH("f(h)",栽培スケジュール!$1:$1,0))),0))</f>
        <v/>
      </c>
      <c r="AC20" s="16" t="str">
        <f>IF(AC13="","",VLOOKUP(AC5,栽培スケジュール!$A:$AN,IF(ISNUMBER(SEARCH("s",AC13)),MATCH("s(h)",栽培スケジュール!$1:$1,0),IF(ISNUMBER(SEARCH("o",AC13)),MATCH("o(h)",栽培スケジュール!$1:$1,0),MATCH("f(h)",栽培スケジュール!$1:$1,0))),0))</f>
        <v/>
      </c>
      <c r="AD20" s="16" t="str">
        <f>IF(AD13="","",VLOOKUP(AD5,栽培スケジュール!$A:$AN,IF(ISNUMBER(SEARCH("s",AD13)),MATCH("s(h)",栽培スケジュール!$1:$1,0),IF(ISNUMBER(SEARCH("o",AD13)),MATCH("o(h)",栽培スケジュール!$1:$1,0),MATCH("f(h)",栽培スケジュール!$1:$1,0))),0))</f>
        <v/>
      </c>
      <c r="AE20" s="16">
        <f>IF(AE13="","",VLOOKUP(AE5,栽培スケジュール!$A:$AN,IF(ISNUMBER(SEARCH("s",AE13)),MATCH("s(h)",栽培スケジュール!$1:$1,0),IF(ISNUMBER(SEARCH("o",AE13)),MATCH("o(h)",栽培スケジュール!$1:$1,0),MATCH("f(h)",栽培スケジュール!$1:$1,0))),0))</f>
        <v>16.3</v>
      </c>
      <c r="AF20" s="16">
        <f>IF(AF13="","",VLOOKUP(AF5,栽培スケジュール!$A:$AN,IF(ISNUMBER(SEARCH("s",AF13)),MATCH("s(h)",栽培スケジュール!$1:$1,0),IF(ISNUMBER(SEARCH("o",AF13)),MATCH("o(h)",栽培スケジュール!$1:$1,0),MATCH("f(h)",栽培スケジュール!$1:$1,0))),0))</f>
        <v>16.3</v>
      </c>
      <c r="AG20" s="16">
        <f>IF(AG13="","",VLOOKUP(AG5,栽培スケジュール!$A:$AN,IF(ISNUMBER(SEARCH("s",AG13)),MATCH("s(h)",栽培スケジュール!$1:$1,0),IF(ISNUMBER(SEARCH("o",AG13)),MATCH("o(h)",栽培スケジュール!$1:$1,0),MATCH("f(h)",栽培スケジュール!$1:$1,0))),0))</f>
        <v>34.100000000000009</v>
      </c>
      <c r="AH20" s="16">
        <f>IF(AH13="","",VLOOKUP(AH5,栽培スケジュール!$A:$AN,IF(ISNUMBER(SEARCH("s",AH13)),MATCH("s(h)",栽培スケジュール!$1:$1,0),IF(ISNUMBER(SEARCH("o",AH13)),MATCH("o(h)",栽培スケジュール!$1:$1,0),MATCH("f(h)",栽培スケジュール!$1:$1,0))),0))</f>
        <v>34.100000000000009</v>
      </c>
      <c r="AI20" s="16">
        <f>IF(AI13="","",VLOOKUP(AI5,栽培スケジュール!$A:$AN,IF(ISNUMBER(SEARCH("s",AI13)),MATCH("s(h)",栽培スケジュール!$1:$1,0),IF(ISNUMBER(SEARCH("o",AI13)),MATCH("o(h)",栽培スケジュール!$1:$1,0),MATCH("f(h)",栽培スケジュール!$1:$1,0))),0))</f>
        <v>35</v>
      </c>
      <c r="AJ20" s="16" t="str">
        <f>IF(AJ13="","",VLOOKUP(AJ5,栽培スケジュール!$A:$AN,IF(ISNUMBER(SEARCH("s",AJ13)),MATCH("s(h)",栽培スケジュール!$1:$1,0),IF(ISNUMBER(SEARCH("o",AJ13)),MATCH("o(h)",栽培スケジュール!$1:$1,0),MATCH("f(h)",栽培スケジュール!$1:$1,0))),0))</f>
        <v/>
      </c>
      <c r="AK20" s="16" t="str">
        <f>IF(AK13="","",VLOOKUP(AK5,栽培スケジュール!$A:$AN,IF(ISNUMBER(SEARCH("s",AK13)),MATCH("s(h)",栽培スケジュール!$1:$1,0),IF(ISNUMBER(SEARCH("o",AK13)),MATCH("o(h)",栽培スケジュール!$1:$1,0),MATCH("f(h)",栽培スケジュール!$1:$1,0))),0))</f>
        <v/>
      </c>
      <c r="AL20" s="16" t="str">
        <f>IF(AL13="","",VLOOKUP(AL5,栽培スケジュール!$A:$AN,IF(ISNUMBER(SEARCH("s",AL13)),MATCH("s(h)",栽培スケジュール!$1:$1,0),IF(ISNUMBER(SEARCH("o",AL13)),MATCH("o(h)",栽培スケジュール!$1:$1,0),MATCH("f(h)",栽培スケジュール!$1:$1,0))),0))</f>
        <v/>
      </c>
      <c r="AM20" s="16" t="str">
        <f>IF(AM13="","",VLOOKUP(AM5,栽培スケジュール!$A:$AN,IF(ISNUMBER(SEARCH("s",AM13)),MATCH("s(h)",栽培スケジュール!$1:$1,0),IF(ISNUMBER(SEARCH("o",AM13)),MATCH("o(h)",栽培スケジュール!$1:$1,0),MATCH("f(h)",栽培スケジュール!$1:$1,0))),0))</f>
        <v/>
      </c>
      <c r="AN20" s="16">
        <f>IF(AN13="","",VLOOKUP(AN5,栽培スケジュール!$A:$AN,IF(ISNUMBER(SEARCH("s",AN13)),MATCH("s(h)",栽培スケジュール!$1:$1,0),IF(ISNUMBER(SEARCH("o",AN13)),MATCH("o(h)",栽培スケジュール!$1:$1,0),MATCH("f(h)",栽培スケジュール!$1:$1,0))),0))</f>
        <v>9.6749999999999989</v>
      </c>
      <c r="AO20" s="16">
        <f>IF(AO13="","",VLOOKUP(AO5,栽培スケジュール!$A:$AN,IF(ISNUMBER(SEARCH("s",AO13)),MATCH("s(h)",栽培スケジュール!$1:$1,0),IF(ISNUMBER(SEARCH("o",AO13)),MATCH("o(h)",栽培スケジュール!$1:$1,0),MATCH("f(h)",栽培スケジュール!$1:$1,0))),0))</f>
        <v>9.6749999999999989</v>
      </c>
      <c r="AP20" s="16">
        <f>IF(AP13="","",VLOOKUP(AP5,栽培スケジュール!$A:$AN,IF(ISNUMBER(SEARCH("s",AP13)),MATCH("s(h)",栽培スケジュール!$1:$1,0),IF(ISNUMBER(SEARCH("o",AP13)),MATCH("o(h)",栽培スケジュール!$1:$1,0),MATCH("f(h)",栽培スケジュール!$1:$1,0))),0))</f>
        <v>25.8</v>
      </c>
      <c r="AQ20" s="16">
        <f>IF(AQ13="","",VLOOKUP(AQ5,栽培スケジュール!$A:$AN,IF(ISNUMBER(SEARCH("s",AQ13)),MATCH("s(h)",栽培スケジュール!$1:$1,0),IF(ISNUMBER(SEARCH("o",AQ13)),MATCH("o(h)",栽培スケジュール!$1:$1,0),MATCH("f(h)",栽培スケジュール!$1:$1,0))),0))</f>
        <v>83.850000000000009</v>
      </c>
      <c r="AR20" s="16" t="str">
        <f>IF(AR13="","",VLOOKUP(AR5,栽培スケジュール!$A:$AN,IF(ISNUMBER(SEARCH("s",AR13)),MATCH("s(h)",栽培スケジュール!$1:$1,0),IF(ISNUMBER(SEARCH("o",AR13)),MATCH("o(h)",栽培スケジュール!$1:$1,0),MATCH("f(h)",栽培スケジュール!$1:$1,0))),0))</f>
        <v/>
      </c>
      <c r="AS20" s="16" t="str">
        <f>IF(AS13="","",VLOOKUP(AS5,栽培スケジュール!$A:$AN,IF(ISNUMBER(SEARCH("s",AS13)),MATCH("s(h)",栽培スケジュール!$1:$1,0),IF(ISNUMBER(SEARCH("o",AS13)),MATCH("o(h)",栽培スケジュール!$1:$1,0),MATCH("f(h)",栽培スケジュール!$1:$1,0))),0))</f>
        <v/>
      </c>
      <c r="AT20" s="16">
        <f>IF(AT13="","",VLOOKUP(AT5,栽培スケジュール!$A:$AN,IF(ISNUMBER(SEARCH("s",AT13)),MATCH("s(h)",栽培スケジュール!$1:$1,0),IF(ISNUMBER(SEARCH("o",AT13)),MATCH("o(h)",栽培スケジュール!$1:$1,0),MATCH("f(h)",栽培スケジュール!$1:$1,0))),0))</f>
        <v>56.55</v>
      </c>
      <c r="AU20" s="16">
        <f>IF(AU13="","",VLOOKUP(AU5,栽培スケジュール!$A:$AN,IF(ISNUMBER(SEARCH("s",AU13)),MATCH("s(h)",栽培スケジュール!$1:$1,0),IF(ISNUMBER(SEARCH("o",AU13)),MATCH("o(h)",栽培スケジュール!$1:$1,0),MATCH("f(h)",栽培スケジュール!$1:$1,0))),0))</f>
        <v>37.700000000000003</v>
      </c>
      <c r="AV20" s="16">
        <f>IF(AV13="","",VLOOKUP(AV5,栽培スケジュール!$A:$AN,IF(ISNUMBER(SEARCH("s",AV13)),MATCH("s(h)",栽培スケジュール!$1:$1,0),IF(ISNUMBER(SEARCH("o",AV13)),MATCH("o(h)",栽培スケジュール!$1:$1,0),MATCH("f(h)",栽培スケジュール!$1:$1,0))),0))</f>
        <v>37.700000000000003</v>
      </c>
      <c r="AW20" s="16">
        <f>IF(AW13="","",VLOOKUP(AW5,栽培スケジュール!$A:$AN,IF(ISNUMBER(SEARCH("s",AW13)),MATCH("s(h)",栽培スケジュール!$1:$1,0),IF(ISNUMBER(SEARCH("o",AW13)),MATCH("o(h)",栽培スケジュール!$1:$1,0),MATCH("f(h)",栽培スケジュール!$1:$1,0))),0))</f>
        <v>122.52499999999999</v>
      </c>
      <c r="AX20" s="16">
        <f>IF(AX13="","",VLOOKUP(AX5,栽培スケジュール!$A:$AN,IF(ISNUMBER(SEARCH("s",AX13)),MATCH("s(h)",栽培スケジュール!$1:$1,0),IF(ISNUMBER(SEARCH("o",AX13)),MATCH("o(h)",栽培スケジュール!$1:$1,0),MATCH("f(h)",栽培スケジュール!$1:$1,0))),0))</f>
        <v>122.52499999999999</v>
      </c>
      <c r="AY20" s="16" t="str">
        <f>IF(AY13="","",VLOOKUP(AY5,栽培スケジュール!$A:$AN,IF(ISNUMBER(SEARCH("s",AY13)),MATCH("s(h)",栽培スケジュール!$1:$1,0),IF(ISNUMBER(SEARCH("o",AY13)),MATCH("o(h)",栽培スケジュール!$1:$1,0),MATCH("f(h)",栽培スケジュール!$1:$1,0))),0))</f>
        <v/>
      </c>
    </row>
    <row r="21" spans="1:52" ht="18" customHeight="1" thickBot="1">
      <c r="A21" s="31"/>
      <c r="B21" s="42" t="s">
        <v>96</v>
      </c>
      <c r="C21" s="33" t="str">
        <f>IF(C14="","",VLOOKUP(C6,栽培スケジュール!$A:$AN,IF(ISNUMBER(SEARCH("s",C14)),MATCH("s(h)",栽培スケジュール!$1:$1,0),IF(ISNUMBER(SEARCH("o",C14)),MATCH("o(h)",栽培スケジュール!$1:$1,0),MATCH("f(h)",栽培スケジュール!$1:$1,0))),0))</f>
        <v/>
      </c>
      <c r="D21" s="33">
        <f>IF(D14="","",VLOOKUP(D6,栽培スケジュール!$A:$AN,IF(ISNUMBER(SEARCH("s",D14)),MATCH("s(h)",栽培スケジュール!$1:$1,0),IF(ISNUMBER(SEARCH("o",D14)),MATCH("o(h)",栽培スケジュール!$1:$1,0),MATCH("f(h)",栽培スケジュール!$1:$1,0))),0))</f>
        <v>9.6749999999999989</v>
      </c>
      <c r="E21" s="33">
        <f>IF(E14="","",VLOOKUP(E6,栽培スケジュール!$A:$AN,IF(ISNUMBER(SEARCH("s",E14)),MATCH("s(h)",栽培スケジュール!$1:$1,0),IF(ISNUMBER(SEARCH("o",E14)),MATCH("o(h)",栽培スケジュール!$1:$1,0),MATCH("f(h)",栽培スケジュール!$1:$1,0))),0))</f>
        <v>9.6749999999999989</v>
      </c>
      <c r="F21" s="33">
        <f>IF(F14="","",VLOOKUP(F6,栽培スケジュール!$A:$AN,IF(ISNUMBER(SEARCH("s",F14)),MATCH("s(h)",栽培スケジュール!$1:$1,0),IF(ISNUMBER(SEARCH("o",F14)),MATCH("o(h)",栽培スケジュール!$1:$1,0),MATCH("f(h)",栽培スケジュール!$1:$1,0))),0))</f>
        <v>25.8</v>
      </c>
      <c r="G21" s="33">
        <f>IF(G14="","",VLOOKUP(G6,栽培スケジュール!$A:$AN,IF(ISNUMBER(SEARCH("s",G14)),MATCH("s(h)",栽培スケジュール!$1:$1,0),IF(ISNUMBER(SEARCH("o",G14)),MATCH("o(h)",栽培スケジュール!$1:$1,0),MATCH("f(h)",栽培スケジュール!$1:$1,0))),0))</f>
        <v>83.850000000000009</v>
      </c>
      <c r="H21" s="33" t="str">
        <f>IF(H14="","",VLOOKUP(H6,栽培スケジュール!$A:$AN,IF(ISNUMBER(SEARCH("s",H14)),MATCH("s(h)",栽培スケジュール!$1:$1,0),IF(ISNUMBER(SEARCH("o",H14)),MATCH("o(h)",栽培スケジュール!$1:$1,0),MATCH("f(h)",栽培スケジュール!$1:$1,0))),0))</f>
        <v/>
      </c>
      <c r="I21" s="33" t="str">
        <f>IF(I14="","",VLOOKUP(I6,栽培スケジュール!$A:$AN,IF(ISNUMBER(SEARCH("s",I14)),MATCH("s(h)",栽培スケジュール!$1:$1,0),IF(ISNUMBER(SEARCH("o",I14)),MATCH("o(h)",栽培スケジュール!$1:$1,0),MATCH("f(h)",栽培スケジュール!$1:$1,0))),0))</f>
        <v/>
      </c>
      <c r="J21" s="33" t="str">
        <f>IF(J14="","",VLOOKUP(J6,栽培スケジュール!$A:$AN,IF(ISNUMBER(SEARCH("s",J14)),MATCH("s(h)",栽培スケジュール!$1:$1,0),IF(ISNUMBER(SEARCH("o",J14)),MATCH("o(h)",栽培スケジュール!$1:$1,0),MATCH("f(h)",栽培スケジュール!$1:$1,0))),0))</f>
        <v/>
      </c>
      <c r="K21" s="33" t="str">
        <f>IF(K14="","",VLOOKUP(K6,栽培スケジュール!$A:$AN,IF(ISNUMBER(SEARCH("s",K14)),MATCH("s(h)",栽培スケジュール!$1:$1,0),IF(ISNUMBER(SEARCH("o",K14)),MATCH("o(h)",栽培スケジュール!$1:$1,0),MATCH("f(h)",栽培スケジュール!$1:$1,0))),0))</f>
        <v/>
      </c>
      <c r="L21" s="33">
        <f>IF(L14="","",VLOOKUP(L6,栽培スケジュール!$A:$AN,IF(ISNUMBER(SEARCH("s",L14)),MATCH("s(h)",栽培スケジュール!$1:$1,0),IF(ISNUMBER(SEARCH("o",L14)),MATCH("o(h)",栽培スケジュール!$1:$1,0),MATCH("f(h)",栽培スケジュール!$1:$1,0))),0))</f>
        <v>28.274999999999999</v>
      </c>
      <c r="M21" s="33">
        <f>IF(M14="","",VLOOKUP(M6,栽培スケジュール!$A:$AN,IF(ISNUMBER(SEARCH("s",M14)),MATCH("s(h)",栽培スケジュール!$1:$1,0),IF(ISNUMBER(SEARCH("o",M14)),MATCH("o(h)",栽培スケジュール!$1:$1,0),MATCH("f(h)",栽培スケジュール!$1:$1,0))),0))</f>
        <v>28.274999999999999</v>
      </c>
      <c r="N21" s="33">
        <f>IF(N14="","",VLOOKUP(N6,栽培スケジュール!$A:$AN,IF(ISNUMBER(SEARCH("s",N14)),MATCH("s(h)",栽培スケジュール!$1:$1,0),IF(ISNUMBER(SEARCH("o",N14)),MATCH("o(h)",栽培スケジュール!$1:$1,0),MATCH("f(h)",栽培スケジュール!$1:$1,0))),0))</f>
        <v>75.400000000000006</v>
      </c>
      <c r="O21" s="33">
        <f>IF(O14="","",VLOOKUP(O6,栽培スケジュール!$A:$AN,IF(ISNUMBER(SEARCH("s",O14)),MATCH("s(h)",栽培スケジュール!$1:$1,0),IF(ISNUMBER(SEARCH("o",O14)),MATCH("o(h)",栽培スケジュール!$1:$1,0),MATCH("f(h)",栽培スケジュール!$1:$1,0))),0))</f>
        <v>122.52499999999999</v>
      </c>
      <c r="P21" s="33">
        <f>IF(P14="","",VLOOKUP(P6,栽培スケジュール!$A:$AN,IF(ISNUMBER(SEARCH("s",P14)),MATCH("s(h)",栽培スケジュール!$1:$1,0),IF(ISNUMBER(SEARCH("o",P14)),MATCH("o(h)",栽培スケジュール!$1:$1,0),MATCH("f(h)",栽培スケジュール!$1:$1,0))),0))</f>
        <v>122.52499999999999</v>
      </c>
      <c r="Q21" s="33" t="str">
        <f>IF(Q14="","",VLOOKUP(Q6,栽培スケジュール!$A:$AN,IF(ISNUMBER(SEARCH("s",Q14)),MATCH("s(h)",栽培スケジュール!$1:$1,0),IF(ISNUMBER(SEARCH("o",Q14)),MATCH("o(h)",栽培スケジュール!$1:$1,0),MATCH("f(h)",栽培スケジュール!$1:$1,0))),0))</f>
        <v/>
      </c>
      <c r="R21" s="33" t="str">
        <f>IF(R14="","",VLOOKUP(R6,栽培スケジュール!$A:$AN,IF(ISNUMBER(SEARCH("s",R14)),MATCH("s(h)",栽培スケジュール!$1:$1,0),IF(ISNUMBER(SEARCH("o",R14)),MATCH("o(h)",栽培スケジュール!$1:$1,0),MATCH("f(h)",栽培スケジュール!$1:$1,0))),0))</f>
        <v/>
      </c>
      <c r="S21" s="33">
        <f>IF(S14="","",VLOOKUP(S6,栽培スケジュール!$A:$AN,IF(ISNUMBER(SEARCH("s",S14)),MATCH("s(h)",栽培スケジュール!$1:$1,0),IF(ISNUMBER(SEARCH("o",S14)),MATCH("o(h)",栽培スケジュール!$1:$1,0),MATCH("f(h)",栽培スケジュール!$1:$1,0))),0))</f>
        <v>16.3</v>
      </c>
      <c r="T21" s="33">
        <f>IF(T14="","",VLOOKUP(T6,栽培スケジュール!$A:$AN,IF(ISNUMBER(SEARCH("s",T14)),MATCH("s(h)",栽培スケジュール!$1:$1,0),IF(ISNUMBER(SEARCH("o",T14)),MATCH("o(h)",栽培スケジュール!$1:$1,0),MATCH("f(h)",栽培スケジュール!$1:$1,0))),0))</f>
        <v>16.3</v>
      </c>
      <c r="U21" s="33">
        <f>IF(U14="","",VLOOKUP(U6,栽培スケジュール!$A:$AN,IF(ISNUMBER(SEARCH("s",U14)),MATCH("s(h)",栽培スケジュール!$1:$1,0),IF(ISNUMBER(SEARCH("o",U14)),MATCH("o(h)",栽培スケジュール!$1:$1,0),MATCH("f(h)",栽培スケジュール!$1:$1,0))),0))</f>
        <v>34.100000000000009</v>
      </c>
      <c r="V21" s="33">
        <f>IF(V14="","",VLOOKUP(V6,栽培スケジュール!$A:$AN,IF(ISNUMBER(SEARCH("s",V14)),MATCH("s(h)",栽培スケジュール!$1:$1,0),IF(ISNUMBER(SEARCH("o",V14)),MATCH("o(h)",栽培スケジュール!$1:$1,0),MATCH("f(h)",栽培スケジュール!$1:$1,0))),0))</f>
        <v>34.100000000000009</v>
      </c>
      <c r="W21" s="33">
        <f>IF(W14="","",VLOOKUP(W6,栽培スケジュール!$A:$AN,IF(ISNUMBER(SEARCH("s",W14)),MATCH("s(h)",栽培スケジュール!$1:$1,0),IF(ISNUMBER(SEARCH("o",W14)),MATCH("o(h)",栽培スケジュール!$1:$1,0),MATCH("f(h)",栽培スケジュール!$1:$1,0))),0))</f>
        <v>35</v>
      </c>
      <c r="X21" s="33" t="str">
        <f>IF(X14="","",VLOOKUP(X6,栽培スケジュール!$A:$AN,IF(ISNUMBER(SEARCH("s",X14)),MATCH("s(h)",栽培スケジュール!$1:$1,0),IF(ISNUMBER(SEARCH("o",X14)),MATCH("o(h)",栽培スケジュール!$1:$1,0),MATCH("f(h)",栽培スケジュール!$1:$1,0))),0))</f>
        <v/>
      </c>
      <c r="Y21" s="33" t="str">
        <f>IF(Y14="","",VLOOKUP(Y6,栽培スケジュール!$A:$AN,IF(ISNUMBER(SEARCH("s",Y14)),MATCH("s(h)",栽培スケジュール!$1:$1,0),IF(ISNUMBER(SEARCH("o",Y14)),MATCH("o(h)",栽培スケジュール!$1:$1,0),MATCH("f(h)",栽培スケジュール!$1:$1,0))),0))</f>
        <v/>
      </c>
      <c r="Z21" s="33">
        <f>IF(Z14="","",VLOOKUP(Z6,栽培スケジュール!$A:$AN,IF(ISNUMBER(SEARCH("s",Z14)),MATCH("s(h)",栽培スケジュール!$1:$1,0),IF(ISNUMBER(SEARCH("o",Z14)),MATCH("o(h)",栽培スケジュール!$1:$1,0),MATCH("f(h)",栽培スケジュール!$1:$1,0))),0))</f>
        <v>31.799999999999997</v>
      </c>
      <c r="AA21" s="33">
        <f>IF(AA14="","",VLOOKUP(AA6,栽培スケジュール!$A:$AN,IF(ISNUMBER(SEARCH("s",AA14)),MATCH("s(h)",栽培スケジュール!$1:$1,0),IF(ISNUMBER(SEARCH("o",AA14)),MATCH("o(h)",栽培スケジュール!$1:$1,0),MATCH("f(h)",栽培スケジュール!$1:$1,0))),0))</f>
        <v>42.400000000000006</v>
      </c>
      <c r="AB21" s="33">
        <f>IF(AB14="","",VLOOKUP(AB6,栽培スケジュール!$A:$AN,IF(ISNUMBER(SEARCH("s",AB14)),MATCH("s(h)",栽培スケジュール!$1:$1,0),IF(ISNUMBER(SEARCH("o",AB14)),MATCH("o(h)",栽培スケジュール!$1:$1,0),MATCH("f(h)",栽培スケジュール!$1:$1,0))),0))</f>
        <v>68.899999999999991</v>
      </c>
      <c r="AC21" s="33">
        <f>IF(AC14="","",VLOOKUP(AC6,栽培スケジュール!$A:$AN,IF(ISNUMBER(SEARCH("s",AC14)),MATCH("s(h)",栽培スケジュール!$1:$1,0),IF(ISNUMBER(SEARCH("o",AC14)),MATCH("o(h)",栽培スケジュール!$1:$1,0),MATCH("f(h)",栽培スケジュール!$1:$1,0))),0))</f>
        <v>68.899999999999991</v>
      </c>
      <c r="AD21" s="33" t="str">
        <f>IF(AD14="","",VLOOKUP(AD6,栽培スケジュール!$A:$AN,IF(ISNUMBER(SEARCH("s",AD14)),MATCH("s(h)",栽培スケジュール!$1:$1,0),IF(ISNUMBER(SEARCH("o",AD14)),MATCH("o(h)",栽培スケジュール!$1:$1,0),MATCH("f(h)",栽培スケジュール!$1:$1,0))),0))</f>
        <v/>
      </c>
      <c r="AE21" s="33" t="str">
        <f>IF(AE14="","",VLOOKUP(AE6,栽培スケジュール!$A:$AN,IF(ISNUMBER(SEARCH("s",AE14)),MATCH("s(h)",栽培スケジュール!$1:$1,0),IF(ISNUMBER(SEARCH("o",AE14)),MATCH("o(h)",栽培スケジュール!$1:$1,0),MATCH("f(h)",栽培スケジュール!$1:$1,0))),0))</f>
        <v/>
      </c>
      <c r="AF21" s="33" t="str">
        <f>IF(AF14="","",VLOOKUP(AF6,栽培スケジュール!$A:$AN,IF(ISNUMBER(SEARCH("s",AF14)),MATCH("s(h)",栽培スケジュール!$1:$1,0),IF(ISNUMBER(SEARCH("o",AF14)),MATCH("o(h)",栽培スケジュール!$1:$1,0),MATCH("f(h)",栽培スケジュール!$1:$1,0))),0))</f>
        <v/>
      </c>
      <c r="AG21" s="33">
        <f>IF(AG14="","",VLOOKUP(AG6,栽培スケジュール!$A:$AN,IF(ISNUMBER(SEARCH("s",AG14)),MATCH("s(h)",栽培スケジュール!$1:$1,0),IF(ISNUMBER(SEARCH("o",AG14)),MATCH("o(h)",栽培スケジュール!$1:$1,0),MATCH("f(h)",栽培スケジュール!$1:$1,0))),0))</f>
        <v>56.55</v>
      </c>
      <c r="AH21" s="33">
        <f>IF(AH14="","",VLOOKUP(AH6,栽培スケジュール!$A:$AN,IF(ISNUMBER(SEARCH("s",AH14)),MATCH("s(h)",栽培スケジュール!$1:$1,0),IF(ISNUMBER(SEARCH("o",AH14)),MATCH("o(h)",栽培スケジュール!$1:$1,0),MATCH("f(h)",栽培スケジュール!$1:$1,0))),0))</f>
        <v>75.400000000000006</v>
      </c>
      <c r="AI21" s="33">
        <f>IF(AI14="","",VLOOKUP(AI6,栽培スケジュール!$A:$AN,IF(ISNUMBER(SEARCH("s",AI14)),MATCH("s(h)",栽培スケジュール!$1:$1,0),IF(ISNUMBER(SEARCH("o",AI14)),MATCH("o(h)",栽培スケジュール!$1:$1,0),MATCH("f(h)",栽培スケジュール!$1:$1,0))),0))</f>
        <v>122.52499999999999</v>
      </c>
      <c r="AJ21" s="33">
        <f>IF(AJ14="","",VLOOKUP(AJ6,栽培スケジュール!$A:$AN,IF(ISNUMBER(SEARCH("s",AJ14)),MATCH("s(h)",栽培スケジュール!$1:$1,0),IF(ISNUMBER(SEARCH("o",AJ14)),MATCH("o(h)",栽培スケジュール!$1:$1,0),MATCH("f(h)",栽培スケジュール!$1:$1,0))),0))</f>
        <v>122.52499999999999</v>
      </c>
      <c r="AK21" s="33" t="str">
        <f>IF(AK14="","",VLOOKUP(AK6,栽培スケジュール!$A:$AN,IF(ISNUMBER(SEARCH("s",AK14)),MATCH("s(h)",栽培スケジュール!$1:$1,0),IF(ISNUMBER(SEARCH("o",AK14)),MATCH("o(h)",栽培スケジュール!$1:$1,0),MATCH("f(h)",栽培スケジュール!$1:$1,0))),0))</f>
        <v/>
      </c>
      <c r="AL21" s="33" t="str">
        <f>IF(AL14="","",VLOOKUP(AL6,栽培スケジュール!$A:$AN,IF(ISNUMBER(SEARCH("s",AL14)),MATCH("s(h)",栽培スケジュール!$1:$1,0),IF(ISNUMBER(SEARCH("o",AL14)),MATCH("o(h)",栽培スケジュール!$1:$1,0),MATCH("f(h)",栽培スケジュール!$1:$1,0))),0))</f>
        <v/>
      </c>
      <c r="AM21" s="33" t="str">
        <f>IF(AM14="","",VLOOKUP(AM6,栽培スケジュール!$A:$AN,IF(ISNUMBER(SEARCH("s",AM14)),MATCH("s(h)",栽培スケジュール!$1:$1,0),IF(ISNUMBER(SEARCH("o",AM14)),MATCH("o(h)",栽培スケジュール!$1:$1,0),MATCH("f(h)",栽培スケジュール!$1:$1,0))),0))</f>
        <v/>
      </c>
      <c r="AN21" s="33" t="str">
        <f>IF(AN14="","",VLOOKUP(AN6,栽培スケジュール!$A:$AN,IF(ISNUMBER(SEARCH("s",AN14)),MATCH("s(h)",栽培スケジュール!$1:$1,0),IF(ISNUMBER(SEARCH("o",AN14)),MATCH("o(h)",栽培スケジュール!$1:$1,0),MATCH("f(h)",栽培スケジュール!$1:$1,0))),0))</f>
        <v/>
      </c>
      <c r="AO21" s="33" t="str">
        <f>IF(AO14="","",VLOOKUP(AO6,栽培スケジュール!$A:$AN,IF(ISNUMBER(SEARCH("s",AO14)),MATCH("s(h)",栽培スケジュール!$1:$1,0),IF(ISNUMBER(SEARCH("o",AO14)),MATCH("o(h)",栽培スケジュール!$1:$1,0),MATCH("f(h)",栽培スケジュール!$1:$1,0))),0))</f>
        <v/>
      </c>
      <c r="AP21" s="33" t="str">
        <f>IF(AP14="","",VLOOKUP(AP6,栽培スケジュール!$A:$AN,IF(ISNUMBER(SEARCH("s",AP14)),MATCH("s(h)",栽培スケジュール!$1:$1,0),IF(ISNUMBER(SEARCH("o",AP14)),MATCH("o(h)",栽培スケジュール!$1:$1,0),MATCH("f(h)",栽培スケジュール!$1:$1,0))),0))</f>
        <v/>
      </c>
      <c r="AQ21" s="33">
        <f>IF(AQ14="","",VLOOKUP(AQ6,栽培スケジュール!$A:$AN,IF(ISNUMBER(SEARCH("s",AQ14)),MATCH("s(h)",栽培スケジュール!$1:$1,0),IF(ISNUMBER(SEARCH("o",AQ14)),MATCH("o(h)",栽培スケジュール!$1:$1,0),MATCH("f(h)",栽培スケジュール!$1:$1,0))),0))</f>
        <v>16.3</v>
      </c>
      <c r="AR21" s="33">
        <f>IF(AR14="","",VLOOKUP(AR6,栽培スケジュール!$A:$AN,IF(ISNUMBER(SEARCH("s",AR14)),MATCH("s(h)",栽培スケジュール!$1:$1,0),IF(ISNUMBER(SEARCH("o",AR14)),MATCH("o(h)",栽培スケジュール!$1:$1,0),MATCH("f(h)",栽培スケジュール!$1:$1,0))),0))</f>
        <v>16.3</v>
      </c>
      <c r="AS21" s="33">
        <f>IF(AS14="","",VLOOKUP(AS6,栽培スケジュール!$A:$AN,IF(ISNUMBER(SEARCH("s",AS14)),MATCH("s(h)",栽培スケジュール!$1:$1,0),IF(ISNUMBER(SEARCH("o",AS14)),MATCH("o(h)",栽培スケジュール!$1:$1,0),MATCH("f(h)",栽培スケジュール!$1:$1,0))),0))</f>
        <v>34.100000000000009</v>
      </c>
      <c r="AT21" s="33">
        <f>IF(AT14="","",VLOOKUP(AT6,栽培スケジュール!$A:$AN,IF(ISNUMBER(SEARCH("s",AT14)),MATCH("s(h)",栽培スケジュール!$1:$1,0),IF(ISNUMBER(SEARCH("o",AT14)),MATCH("o(h)",栽培スケジュール!$1:$1,0),MATCH("f(h)",栽培スケジュール!$1:$1,0))),0))</f>
        <v>34.100000000000009</v>
      </c>
      <c r="AU21" s="33">
        <f>IF(AU14="","",VLOOKUP(AU6,栽培スケジュール!$A:$AN,IF(ISNUMBER(SEARCH("s",AU14)),MATCH("s(h)",栽培スケジュール!$1:$1,0),IF(ISNUMBER(SEARCH("o",AU14)),MATCH("o(h)",栽培スケジュール!$1:$1,0),MATCH("f(h)",栽培スケジュール!$1:$1,0))),0))</f>
        <v>35</v>
      </c>
      <c r="AV21" s="33" t="str">
        <f>IF(AV14="","",VLOOKUP(AV6,栽培スケジュール!$A:$AN,IF(ISNUMBER(SEARCH("s",AV14)),MATCH("s(h)",栽培スケジュール!$1:$1,0),IF(ISNUMBER(SEARCH("o",AV14)),MATCH("o(h)",栽培スケジュール!$1:$1,0),MATCH("f(h)",栽培スケジュール!$1:$1,0))),0))</f>
        <v/>
      </c>
      <c r="AW21" s="33" t="str">
        <f>IF(AW14="","",VLOOKUP(AW6,栽培スケジュール!$A:$AN,IF(ISNUMBER(SEARCH("s",AW14)),MATCH("s(h)",栽培スケジュール!$1:$1,0),IF(ISNUMBER(SEARCH("o",AW14)),MATCH("o(h)",栽培スケジュール!$1:$1,0),MATCH("f(h)",栽培スケジュール!$1:$1,0))),0))</f>
        <v/>
      </c>
      <c r="AX21" s="33" t="str">
        <f>IF(AX14="","",VLOOKUP(AX6,栽培スケジュール!$A:$AN,IF(ISNUMBER(SEARCH("s",AX14)),MATCH("s(h)",栽培スケジュール!$1:$1,0),IF(ISNUMBER(SEARCH("o",AX14)),MATCH("o(h)",栽培スケジュール!$1:$1,0),MATCH("f(h)",栽培スケジュール!$1:$1,0))),0))</f>
        <v/>
      </c>
      <c r="AY21" s="33" t="str">
        <f>IF(AY14="","",VLOOKUP(AY6,栽培スケジュール!$A:$AN,IF(ISNUMBER(SEARCH("s",AY14)),MATCH("s(h)",栽培スケジュール!$1:$1,0),IF(ISNUMBER(SEARCH("o",AY14)),MATCH("o(h)",栽培スケジュール!$1:$1,0),MATCH("f(h)",栽培スケジュール!$1:$1,0))),0))</f>
        <v/>
      </c>
      <c r="AZ21" s="31"/>
    </row>
    <row r="22" spans="1:52" ht="18" customHeight="1">
      <c r="B22" s="17" t="s">
        <v>91</v>
      </c>
      <c r="C22" s="18">
        <f t="shared" ref="C22:AH22" si="0">SUM(C18:C21)</f>
        <v>0</v>
      </c>
      <c r="D22" s="18">
        <f t="shared" si="0"/>
        <v>9.6749999999999989</v>
      </c>
      <c r="E22" s="18">
        <f t="shared" si="0"/>
        <v>29.024999999999999</v>
      </c>
      <c r="F22" s="18">
        <f t="shared" si="0"/>
        <v>38.700000000000003</v>
      </c>
      <c r="G22" s="18">
        <f t="shared" si="0"/>
        <v>153.30000000000001</v>
      </c>
      <c r="H22" s="18">
        <f t="shared" si="0"/>
        <v>159.25</v>
      </c>
      <c r="I22" s="18">
        <f t="shared" si="0"/>
        <v>179.07499999999999</v>
      </c>
      <c r="J22" s="18">
        <f t="shared" si="0"/>
        <v>197.92500000000001</v>
      </c>
      <c r="K22" s="18">
        <f t="shared" si="0"/>
        <v>154.32499999999999</v>
      </c>
      <c r="L22" s="18">
        <f t="shared" si="0"/>
        <v>193.20000000000002</v>
      </c>
      <c r="M22" s="18">
        <f t="shared" si="0"/>
        <v>128.97499999999999</v>
      </c>
      <c r="N22" s="18">
        <f t="shared" si="0"/>
        <v>186.7</v>
      </c>
      <c r="O22" s="18">
        <f t="shared" si="0"/>
        <v>191.42499999999998</v>
      </c>
      <c r="P22" s="18">
        <f t="shared" si="0"/>
        <v>191.42499999999998</v>
      </c>
      <c r="Q22" s="18">
        <f t="shared" si="0"/>
        <v>19.349999999999998</v>
      </c>
      <c r="R22" s="18">
        <f t="shared" si="0"/>
        <v>12.9</v>
      </c>
      <c r="S22" s="18">
        <f t="shared" si="0"/>
        <v>102.05</v>
      </c>
      <c r="T22" s="18">
        <f t="shared" si="0"/>
        <v>191.85000000000002</v>
      </c>
      <c r="U22" s="18">
        <f t="shared" si="0"/>
        <v>190.72500000000002</v>
      </c>
      <c r="V22" s="18">
        <f t="shared" si="0"/>
        <v>190.72500000000002</v>
      </c>
      <c r="W22" s="18">
        <f t="shared" si="0"/>
        <v>101.8</v>
      </c>
      <c r="X22" s="18">
        <f t="shared" si="0"/>
        <v>42.400000000000006</v>
      </c>
      <c r="Y22" s="18">
        <f t="shared" si="0"/>
        <v>99.899999999999991</v>
      </c>
      <c r="Z22" s="18">
        <f t="shared" si="0"/>
        <v>159.59999999999997</v>
      </c>
      <c r="AA22" s="18">
        <f t="shared" si="0"/>
        <v>149.30000000000001</v>
      </c>
      <c r="AB22" s="18">
        <f t="shared" si="0"/>
        <v>192.1</v>
      </c>
      <c r="AC22" s="18">
        <f t="shared" si="0"/>
        <v>192.1</v>
      </c>
      <c r="AD22" s="18">
        <f t="shared" si="0"/>
        <v>199.26666666666668</v>
      </c>
      <c r="AE22" s="18">
        <f t="shared" si="0"/>
        <v>157.56666666666669</v>
      </c>
      <c r="AF22" s="18">
        <f t="shared" si="0"/>
        <v>157.56666666666669</v>
      </c>
      <c r="AG22" s="18">
        <f t="shared" si="0"/>
        <v>90.65</v>
      </c>
      <c r="AH22" s="18">
        <f t="shared" si="0"/>
        <v>166.05</v>
      </c>
      <c r="AI22" s="18">
        <f t="shared" ref="AI22:AY22" si="1">SUM(AI18:AI21)</f>
        <v>195.22499999999999</v>
      </c>
      <c r="AJ22" s="18">
        <f t="shared" si="1"/>
        <v>188.5</v>
      </c>
      <c r="AK22" s="18">
        <f t="shared" si="1"/>
        <v>150.79999999999998</v>
      </c>
      <c r="AL22" s="18">
        <f t="shared" si="1"/>
        <v>197.92500000000001</v>
      </c>
      <c r="AM22" s="18">
        <f t="shared" si="1"/>
        <v>122.52499999999999</v>
      </c>
      <c r="AN22" s="18">
        <f t="shared" si="1"/>
        <v>132.19999999999999</v>
      </c>
      <c r="AO22" s="18">
        <f t="shared" si="1"/>
        <v>29.024999999999999</v>
      </c>
      <c r="AP22" s="18">
        <f t="shared" si="1"/>
        <v>38.700000000000003</v>
      </c>
      <c r="AQ22" s="18">
        <f t="shared" si="1"/>
        <v>129.35000000000002</v>
      </c>
      <c r="AR22" s="18">
        <f t="shared" si="1"/>
        <v>116.45</v>
      </c>
      <c r="AS22" s="18">
        <f t="shared" si="1"/>
        <v>68.200000000000017</v>
      </c>
      <c r="AT22" s="18">
        <f t="shared" si="1"/>
        <v>124.75000000000001</v>
      </c>
      <c r="AU22" s="18">
        <f t="shared" si="1"/>
        <v>139.5</v>
      </c>
      <c r="AV22" s="18">
        <f t="shared" si="1"/>
        <v>80.100000000000009</v>
      </c>
      <c r="AW22" s="18">
        <f t="shared" si="1"/>
        <v>191.42499999999998</v>
      </c>
      <c r="AX22" s="18">
        <f t="shared" si="1"/>
        <v>191.42499999999998</v>
      </c>
      <c r="AY22" s="18">
        <f t="shared" si="1"/>
        <v>0</v>
      </c>
    </row>
    <row r="23" spans="1:52" ht="18" customHeight="1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 spans="1:52" ht="18" customHeight="1">
      <c r="A24" s="13" t="s">
        <v>99</v>
      </c>
      <c r="AX24" s="15" t="s">
        <v>100</v>
      </c>
    </row>
    <row r="25" spans="1:52" ht="18" customHeight="1" thickBot="1">
      <c r="B25" s="21"/>
      <c r="C25" s="8">
        <v>4</v>
      </c>
      <c r="D25" s="8">
        <v>5</v>
      </c>
      <c r="E25" s="8">
        <v>6</v>
      </c>
      <c r="F25" s="8">
        <v>7</v>
      </c>
      <c r="G25" s="8">
        <v>8</v>
      </c>
      <c r="H25" s="8">
        <v>9</v>
      </c>
      <c r="I25" s="8">
        <v>10</v>
      </c>
      <c r="J25" s="8">
        <v>11</v>
      </c>
      <c r="K25" s="8">
        <v>12</v>
      </c>
      <c r="L25" s="8">
        <v>1</v>
      </c>
      <c r="M25" s="8">
        <v>2</v>
      </c>
      <c r="N25" s="8">
        <v>3</v>
      </c>
      <c r="O25" s="14">
        <v>4</v>
      </c>
      <c r="P25" s="14">
        <v>5</v>
      </c>
      <c r="Q25" s="14">
        <v>6</v>
      </c>
      <c r="R25" s="14">
        <v>7</v>
      </c>
      <c r="S25" s="14">
        <v>8</v>
      </c>
      <c r="T25" s="14">
        <v>9</v>
      </c>
      <c r="U25" s="14">
        <v>10</v>
      </c>
      <c r="V25" s="14">
        <v>11</v>
      </c>
      <c r="W25" s="14">
        <v>12</v>
      </c>
      <c r="X25" s="14">
        <v>1</v>
      </c>
      <c r="Y25" s="14">
        <v>2</v>
      </c>
      <c r="Z25" s="14">
        <v>3</v>
      </c>
      <c r="AA25" s="8">
        <v>4</v>
      </c>
      <c r="AB25" s="8">
        <v>5</v>
      </c>
      <c r="AC25" s="8">
        <v>6</v>
      </c>
      <c r="AD25" s="8">
        <v>7</v>
      </c>
      <c r="AE25" s="8">
        <v>8</v>
      </c>
      <c r="AF25" s="8">
        <v>9</v>
      </c>
      <c r="AG25" s="8">
        <v>10</v>
      </c>
      <c r="AH25" s="8">
        <v>11</v>
      </c>
      <c r="AI25" s="8">
        <v>12</v>
      </c>
      <c r="AJ25" s="8">
        <v>1</v>
      </c>
      <c r="AK25" s="8">
        <v>2</v>
      </c>
      <c r="AL25" s="8">
        <v>3</v>
      </c>
      <c r="AM25" s="14">
        <v>4</v>
      </c>
      <c r="AN25" s="14">
        <v>5</v>
      </c>
      <c r="AO25" s="14">
        <v>6</v>
      </c>
      <c r="AP25" s="14">
        <v>7</v>
      </c>
      <c r="AQ25" s="14">
        <v>8</v>
      </c>
      <c r="AR25" s="14">
        <v>9</v>
      </c>
      <c r="AS25" s="14">
        <v>10</v>
      </c>
      <c r="AT25" s="14">
        <v>11</v>
      </c>
      <c r="AU25" s="14">
        <v>12</v>
      </c>
      <c r="AV25" s="14">
        <v>1</v>
      </c>
      <c r="AW25" s="14">
        <v>2</v>
      </c>
      <c r="AX25" s="14">
        <v>3</v>
      </c>
      <c r="AY25" s="8">
        <v>4</v>
      </c>
    </row>
    <row r="26" spans="1:52" ht="18" customHeight="1">
      <c r="B26" s="17" t="s">
        <v>4</v>
      </c>
      <c r="C26" s="20">
        <f t="shared" ref="C26:AH26" si="2">SUM(C27:C30)</f>
        <v>0</v>
      </c>
      <c r="D26" s="20">
        <f t="shared" si="2"/>
        <v>0</v>
      </c>
      <c r="E26" s="20">
        <f t="shared" si="2"/>
        <v>0</v>
      </c>
      <c r="F26" s="20">
        <f t="shared" si="2"/>
        <v>0</v>
      </c>
      <c r="G26" s="20">
        <f t="shared" si="2"/>
        <v>394.68690702087287</v>
      </c>
      <c r="H26" s="20">
        <f t="shared" si="2"/>
        <v>394.68690702087287</v>
      </c>
      <c r="I26" s="20">
        <f t="shared" si="2"/>
        <v>550</v>
      </c>
      <c r="J26" s="20">
        <f t="shared" si="2"/>
        <v>550</v>
      </c>
      <c r="K26" s="20">
        <f t="shared" si="2"/>
        <v>550</v>
      </c>
      <c r="L26" s="20">
        <f t="shared" si="2"/>
        <v>550</v>
      </c>
      <c r="M26" s="20">
        <f t="shared" si="2"/>
        <v>199.45848375451266</v>
      </c>
      <c r="N26" s="20">
        <f t="shared" si="2"/>
        <v>199.45848375451266</v>
      </c>
      <c r="O26" s="20">
        <f t="shared" si="2"/>
        <v>749.4584837545126</v>
      </c>
      <c r="P26" s="20">
        <f t="shared" si="2"/>
        <v>749.4584837545126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394.68690702087287</v>
      </c>
      <c r="U26" s="20">
        <f t="shared" si="2"/>
        <v>550</v>
      </c>
      <c r="V26" s="20">
        <f t="shared" si="2"/>
        <v>550</v>
      </c>
      <c r="W26" s="20">
        <f t="shared" si="2"/>
        <v>1150.3386004514673</v>
      </c>
      <c r="X26" s="20">
        <f t="shared" si="2"/>
        <v>0</v>
      </c>
      <c r="Y26" s="20">
        <f t="shared" si="2"/>
        <v>199.45848375451266</v>
      </c>
      <c r="Z26" s="20">
        <f t="shared" si="2"/>
        <v>199.45848375451266</v>
      </c>
      <c r="AA26" s="20">
        <f t="shared" si="2"/>
        <v>180.72300000000001</v>
      </c>
      <c r="AB26" s="20">
        <f t="shared" si="2"/>
        <v>380.18148375451267</v>
      </c>
      <c r="AC26" s="20">
        <f t="shared" si="2"/>
        <v>380.18148375451267</v>
      </c>
      <c r="AD26" s="20">
        <f t="shared" si="2"/>
        <v>436.68576905177429</v>
      </c>
      <c r="AE26" s="20">
        <f t="shared" si="2"/>
        <v>255.9627690517743</v>
      </c>
      <c r="AF26" s="20">
        <f t="shared" si="2"/>
        <v>255.9627690517743</v>
      </c>
      <c r="AG26" s="20">
        <f t="shared" si="2"/>
        <v>0</v>
      </c>
      <c r="AH26" s="20">
        <f t="shared" si="2"/>
        <v>0</v>
      </c>
      <c r="AI26" s="20">
        <f t="shared" ref="AI26:AY26" si="3">SUM(AI27:AI30)</f>
        <v>1125.1693002257337</v>
      </c>
      <c r="AJ26" s="20">
        <f t="shared" si="3"/>
        <v>550</v>
      </c>
      <c r="AK26" s="20">
        <f t="shared" si="3"/>
        <v>550</v>
      </c>
      <c r="AL26" s="20">
        <f t="shared" si="3"/>
        <v>550</v>
      </c>
      <c r="AM26" s="20">
        <f t="shared" si="3"/>
        <v>550</v>
      </c>
      <c r="AN26" s="20">
        <f t="shared" si="3"/>
        <v>550</v>
      </c>
      <c r="AO26" s="20">
        <f t="shared" si="3"/>
        <v>0</v>
      </c>
      <c r="AP26" s="20">
        <f t="shared" si="3"/>
        <v>0</v>
      </c>
      <c r="AQ26" s="20">
        <f t="shared" si="3"/>
        <v>394.68690702087287</v>
      </c>
      <c r="AR26" s="20">
        <f t="shared" si="3"/>
        <v>394.68690702087287</v>
      </c>
      <c r="AS26" s="20">
        <f t="shared" si="3"/>
        <v>0</v>
      </c>
      <c r="AT26" s="20">
        <f t="shared" si="3"/>
        <v>0</v>
      </c>
      <c r="AU26" s="20">
        <f t="shared" si="3"/>
        <v>1150.3386004514673</v>
      </c>
      <c r="AV26" s="20">
        <f t="shared" si="3"/>
        <v>0</v>
      </c>
      <c r="AW26" s="20">
        <f t="shared" si="3"/>
        <v>749.4584837545126</v>
      </c>
      <c r="AX26" s="20">
        <f t="shared" si="3"/>
        <v>749.4584837545126</v>
      </c>
      <c r="AY26" s="20">
        <f t="shared" si="3"/>
        <v>0</v>
      </c>
    </row>
    <row r="27" spans="1:52" ht="18" customHeight="1">
      <c r="B27" s="12" t="s">
        <v>93</v>
      </c>
      <c r="C27" s="16" t="str">
        <f>IF(ISNUMBER(SEARCH("f",C11)),VLOOKUP(C3,栽培スケジュール!$A:$AN,MATCH("粗収益/月",栽培スケジュール!$1:$1,0),0),"")</f>
        <v/>
      </c>
      <c r="D27" s="16" t="str">
        <f>IF(ISNUMBER(SEARCH("f",D11)),VLOOKUP(D3,栽培スケジュール!$A:$AN,MATCH("粗収益/月",栽培スケジュール!$1:$1,0),0),"")</f>
        <v/>
      </c>
      <c r="E27" s="16" t="str">
        <f>IF(ISNUMBER(SEARCH("f",E11)),VLOOKUP(E3,栽培スケジュール!$A:$AN,MATCH("粗収益/月",栽培スケジュール!$1:$1,0),0),"")</f>
        <v/>
      </c>
      <c r="F27" s="16" t="str">
        <f>IF(ISNUMBER(SEARCH("f",F11)),VLOOKUP(F3,栽培スケジュール!$A:$AN,MATCH("粗収益/月",栽培スケジュール!$1:$1,0),0),"")</f>
        <v/>
      </c>
      <c r="G27" s="16" t="str">
        <f>IF(ISNUMBER(SEARCH("f",G11)),VLOOKUP(G3,栽培スケジュール!$A:$AN,MATCH("粗収益/月",栽培スケジュール!$1:$1,0),0),"")</f>
        <v/>
      </c>
      <c r="H27" s="16">
        <f>IF(ISNUMBER(SEARCH("f",H11)),VLOOKUP(H3,栽培スケジュール!$A:$AN,MATCH("粗収益/月",栽培スケジュール!$1:$1,0),0),"")</f>
        <v>394.68690702087287</v>
      </c>
      <c r="I27" s="16" t="str">
        <f>IF(ISNUMBER(SEARCH("f",I11)),VLOOKUP(I3,栽培スケジュール!$A:$AN,MATCH("粗収益/月",栽培スケジュール!$1:$1,0),0),"")</f>
        <v/>
      </c>
      <c r="J27" s="16" t="str">
        <f>IF(ISNUMBER(SEARCH("f",J11)),VLOOKUP(J3,栽培スケジュール!$A:$AN,MATCH("粗収益/月",栽培スケジュール!$1:$1,0),0),"")</f>
        <v/>
      </c>
      <c r="K27" s="16" t="str">
        <f>IF(ISNUMBER(SEARCH("f",K11)),VLOOKUP(K3,栽培スケジュール!$A:$AN,MATCH("粗収益/月",栽培スケジュール!$1:$1,0),0),"")</f>
        <v/>
      </c>
      <c r="L27" s="16" t="str">
        <f>IF(ISNUMBER(SEARCH("f",L11)),VLOOKUP(L3,栽培スケジュール!$A:$AN,MATCH("粗収益/月",栽培スケジュール!$1:$1,0),0),"")</f>
        <v/>
      </c>
      <c r="M27" s="16">
        <f>IF(ISNUMBER(SEARCH("f",M11)),VLOOKUP(M3,栽培スケジュール!$A:$AN,MATCH("粗収益/月",栽培スケジュール!$1:$1,0),0),"")</f>
        <v>199.45848375451266</v>
      </c>
      <c r="N27" s="16">
        <f>IF(ISNUMBER(SEARCH("f",N11)),VLOOKUP(N3,栽培スケジュール!$A:$AN,MATCH("粗収益/月",栽培スケジュール!$1:$1,0),0),"")</f>
        <v>199.45848375451266</v>
      </c>
      <c r="O27" s="16" t="str">
        <f>IF(ISNUMBER(SEARCH("f",O11)),VLOOKUP(O3,栽培スケジュール!$A:$AN,MATCH("粗収益/月",栽培スケジュール!$1:$1,0),0),"")</f>
        <v/>
      </c>
      <c r="P27" s="16" t="str">
        <f>IF(ISNUMBER(SEARCH("f",P11)),VLOOKUP(P3,栽培スケジュール!$A:$AN,MATCH("粗収益/月",栽培スケジュール!$1:$1,0),0),"")</f>
        <v/>
      </c>
      <c r="Q27" s="16" t="str">
        <f>IF(ISNUMBER(SEARCH("f",Q11)),VLOOKUP(Q3,栽培スケジュール!$A:$AN,MATCH("粗収益/月",栽培スケジュール!$1:$1,0),0),"")</f>
        <v/>
      </c>
      <c r="R27" s="16" t="str">
        <f>IF(ISNUMBER(SEARCH("f",R11)),VLOOKUP(R3,栽培スケジュール!$A:$AN,MATCH("粗収益/月",栽培スケジュール!$1:$1,0),0),"")</f>
        <v/>
      </c>
      <c r="S27" s="16" t="str">
        <f>IF(ISNUMBER(SEARCH("f",S11)),VLOOKUP(S3,栽培スケジュール!$A:$AN,MATCH("粗収益/月",栽培スケジュール!$1:$1,0),0),"")</f>
        <v/>
      </c>
      <c r="T27" s="16" t="str">
        <f>IF(ISNUMBER(SEARCH("f",T11)),VLOOKUP(T3,栽培スケジュール!$A:$AN,MATCH("粗収益/月",栽培スケジュール!$1:$1,0),0),"")</f>
        <v/>
      </c>
      <c r="U27" s="16">
        <f>IF(ISNUMBER(SEARCH("f",U11)),VLOOKUP(U3,栽培スケジュール!$A:$AN,MATCH("粗収益/月",栽培スケジュール!$1:$1,0),0),"")</f>
        <v>550</v>
      </c>
      <c r="V27" s="16">
        <f>IF(ISNUMBER(SEARCH("f",V11)),VLOOKUP(V3,栽培スケジュール!$A:$AN,MATCH("粗収益/月",栽培スケジュール!$1:$1,0),0),"")</f>
        <v>550</v>
      </c>
      <c r="W27" s="16" t="str">
        <f>IF(ISNUMBER(SEARCH("f",W11)),VLOOKUP(W3,栽培スケジュール!$A:$AN,MATCH("粗収益/月",栽培スケジュール!$1:$1,0),0),"")</f>
        <v/>
      </c>
      <c r="X27" s="16" t="str">
        <f>IF(ISNUMBER(SEARCH("f",X11)),VLOOKUP(X3,栽培スケジュール!$A:$AN,MATCH("粗収益/月",栽培スケジュール!$1:$1,0),0),"")</f>
        <v/>
      </c>
      <c r="Y27" s="16" t="str">
        <f>IF(ISNUMBER(SEARCH("f",Y11)),VLOOKUP(Y3,栽培スケジュール!$A:$AN,MATCH("粗収益/月",栽培スケジュール!$1:$1,0),0),"")</f>
        <v/>
      </c>
      <c r="Z27" s="16" t="str">
        <f>IF(ISNUMBER(SEARCH("f",Z11)),VLOOKUP(Z3,栽培スケジュール!$A:$AN,MATCH("粗収益/月",栽培スケジュール!$1:$1,0),0),"")</f>
        <v/>
      </c>
      <c r="AA27" s="16">
        <f>IF(ISNUMBER(SEARCH("f",AA11)),VLOOKUP(AA3,栽培スケジュール!$A:$AN,MATCH("粗収益/月",栽培スケジュール!$1:$1,0),0),"")</f>
        <v>180.72300000000001</v>
      </c>
      <c r="AB27" s="16">
        <f>IF(ISNUMBER(SEARCH("f",AB11)),VLOOKUP(AB3,栽培スケジュール!$A:$AN,MATCH("粗収益/月",栽培スケジュール!$1:$1,0),0),"")</f>
        <v>180.72300000000001</v>
      </c>
      <c r="AC27" s="16">
        <f>IF(ISNUMBER(SEARCH("f",AC11)),VLOOKUP(AC3,栽培スケジュール!$A:$AN,MATCH("粗収益/月",栽培スケジュール!$1:$1,0),0),"")</f>
        <v>180.72300000000001</v>
      </c>
      <c r="AD27" s="16">
        <f>IF(ISNUMBER(SEARCH("f",AD11)),VLOOKUP(AD3,栽培スケジュール!$A:$AN,MATCH("粗収益/月",栽培スケジュール!$1:$1,0),0),"")</f>
        <v>180.72300000000001</v>
      </c>
      <c r="AE27" s="16" t="str">
        <f>IF(ISNUMBER(SEARCH("f",AE11)),VLOOKUP(AE3,栽培スケジュール!$A:$AN,MATCH("粗収益/月",栽培スケジュール!$1:$1,0),0),"")</f>
        <v/>
      </c>
      <c r="AF27" s="16" t="str">
        <f>IF(ISNUMBER(SEARCH("f",AF11)),VLOOKUP(AF3,栽培スケジュール!$A:$AN,MATCH("粗収益/月",栽培スケジュール!$1:$1,0),0),"")</f>
        <v/>
      </c>
      <c r="AG27" s="16" t="str">
        <f>IF(ISNUMBER(SEARCH("f",AG11)),VLOOKUP(AG3,栽培スケジュール!$A:$AN,MATCH("粗収益/月",栽培スケジュール!$1:$1,0),0),"")</f>
        <v/>
      </c>
      <c r="AH27" s="16" t="str">
        <f>IF(ISNUMBER(SEARCH("f",AH11)),VLOOKUP(AH3,栽培スケジュール!$A:$AN,MATCH("粗収益/月",栽培スケジュール!$1:$1,0),0),"")</f>
        <v/>
      </c>
      <c r="AI27" s="16" t="str">
        <f>IF(ISNUMBER(SEARCH("f",AI11)),VLOOKUP(AI3,栽培スケジュール!$A:$AN,MATCH("粗収益/月",栽培スケジュール!$1:$1,0),0),"")</f>
        <v/>
      </c>
      <c r="AJ27" s="16" t="str">
        <f>IF(ISNUMBER(SEARCH("f",AJ11)),VLOOKUP(AJ3,栽培スケジュール!$A:$AN,MATCH("粗収益/月",栽培スケジュール!$1:$1,0),0),"")</f>
        <v/>
      </c>
      <c r="AK27" s="16">
        <f>IF(ISNUMBER(SEARCH("f",AK11)),VLOOKUP(AK3,栽培スケジュール!$A:$AN,MATCH("粗収益/月",栽培スケジュール!$1:$1,0),0),"")</f>
        <v>550</v>
      </c>
      <c r="AL27" s="16">
        <f>IF(ISNUMBER(SEARCH("f",AL11)),VLOOKUP(AL3,栽培スケジュール!$A:$AN,MATCH("粗収益/月",栽培スケジュール!$1:$1,0),0),"")</f>
        <v>550</v>
      </c>
      <c r="AM27" s="16" t="str">
        <f>IF(ISNUMBER(SEARCH("f",AM11)),VLOOKUP(AM3,栽培スケジュール!$A:$AN,MATCH("粗収益/月",栽培スケジュール!$1:$1,0),0),"")</f>
        <v/>
      </c>
      <c r="AN27" s="16" t="str">
        <f>IF(ISNUMBER(SEARCH("f",AN11)),VLOOKUP(AN3,栽培スケジュール!$A:$AN,MATCH("粗収益/月",栽培スケジュール!$1:$1,0),0),"")</f>
        <v/>
      </c>
      <c r="AO27" s="16" t="str">
        <f>IF(ISNUMBER(SEARCH("f",AO11)),VLOOKUP(AO3,栽培スケジュール!$A:$AN,MATCH("粗収益/月",栽培スケジュール!$1:$1,0),0),"")</f>
        <v/>
      </c>
      <c r="AP27" s="16" t="str">
        <f>IF(ISNUMBER(SEARCH("f",AP11)),VLOOKUP(AP3,栽培スケジュール!$A:$AN,MATCH("粗収益/月",栽培スケジュール!$1:$1,0),0),"")</f>
        <v/>
      </c>
      <c r="AQ27" s="16" t="str">
        <f>IF(ISNUMBER(SEARCH("f",AQ11)),VLOOKUP(AQ3,栽培スケジュール!$A:$AN,MATCH("粗収益/月",栽培スケジュール!$1:$1,0),0),"")</f>
        <v/>
      </c>
      <c r="AR27" s="16">
        <f>IF(ISNUMBER(SEARCH("f",AR11)),VLOOKUP(AR3,栽培スケジュール!$A:$AN,MATCH("粗収益/月",栽培スケジュール!$1:$1,0),0),"")</f>
        <v>394.68690702087287</v>
      </c>
      <c r="AS27" s="16" t="str">
        <f>IF(ISNUMBER(SEARCH("f",AS11)),VLOOKUP(AS3,栽培スケジュール!$A:$AN,MATCH("粗収益/月",栽培スケジュール!$1:$1,0),0),"")</f>
        <v/>
      </c>
      <c r="AT27" s="16" t="str">
        <f>IF(ISNUMBER(SEARCH("f",AT11)),VLOOKUP(AT3,栽培スケジュール!$A:$AN,MATCH("粗収益/月",栽培スケジュール!$1:$1,0),0),"")</f>
        <v/>
      </c>
      <c r="AU27" s="16" t="str">
        <f>IF(ISNUMBER(SEARCH("f",AU11)),VLOOKUP(AU3,栽培スケジュール!$A:$AN,MATCH("粗収益/月",栽培スケジュール!$1:$1,0),0),"")</f>
        <v/>
      </c>
      <c r="AV27" s="16" t="str">
        <f>IF(ISNUMBER(SEARCH("f",AV11)),VLOOKUP(AV3,栽培スケジュール!$A:$AN,MATCH("粗収益/月",栽培スケジュール!$1:$1,0),0),"")</f>
        <v/>
      </c>
      <c r="AW27" s="16">
        <f>IF(ISNUMBER(SEARCH("f",AW11)),VLOOKUP(AW3,栽培スケジュール!$A:$AN,MATCH("粗収益/月",栽培スケジュール!$1:$1,0),0),"")</f>
        <v>199.45848375451266</v>
      </c>
      <c r="AX27" s="16">
        <f>IF(ISNUMBER(SEARCH("f",AX11)),VLOOKUP(AX3,栽培スケジュール!$A:$AN,MATCH("粗収益/月",栽培スケジュール!$1:$1,0),0),"")</f>
        <v>199.45848375451266</v>
      </c>
      <c r="AY27" s="16" t="str">
        <f>IF(ISNUMBER(SEARCH("f",AY11)),VLOOKUP(AY3,栽培スケジュール!$A:$AN,MATCH("粗収益/月",栽培スケジュール!$1:$1,0),0),"")</f>
        <v/>
      </c>
    </row>
    <row r="28" spans="1:52" ht="18" customHeight="1">
      <c r="B28" s="12" t="s">
        <v>94</v>
      </c>
      <c r="C28" s="16" t="str">
        <f>IF(ISNUMBER(SEARCH("f",C12)),VLOOKUP(C4,栽培スケジュール!$A:$AN,MATCH("粗収益/月",栽培スケジュール!$1:$1,0),0),"")</f>
        <v/>
      </c>
      <c r="D28" s="16" t="str">
        <f>IF(ISNUMBER(SEARCH("f",D12)),VLOOKUP(D4,栽培スケジュール!$A:$AN,MATCH("粗収益/月",栽培スケジュール!$1:$1,0),0),"")</f>
        <v/>
      </c>
      <c r="E28" s="16" t="str">
        <f>IF(ISNUMBER(SEARCH("f",E12)),VLOOKUP(E4,栽培スケジュール!$A:$AN,MATCH("粗収益/月",栽培スケジュール!$1:$1,0),0),"")</f>
        <v/>
      </c>
      <c r="F28" s="16" t="str">
        <f>IF(ISNUMBER(SEARCH("f",F12)),VLOOKUP(F4,栽培スケジュール!$A:$AN,MATCH("粗収益/月",栽培スケジュール!$1:$1,0),0),"")</f>
        <v/>
      </c>
      <c r="G28" s="16" t="str">
        <f>IF(ISNUMBER(SEARCH("f",G12)),VLOOKUP(G4,栽培スケジュール!$A:$AN,MATCH("粗収益/月",栽培スケジュール!$1:$1,0),0),"")</f>
        <v/>
      </c>
      <c r="H28" s="16" t="str">
        <f>IF(ISNUMBER(SEARCH("f",H12)),VLOOKUP(H4,栽培スケジュール!$A:$AN,MATCH("粗収益/月",栽培スケジュール!$1:$1,0),0),"")</f>
        <v/>
      </c>
      <c r="I28" s="16">
        <f>IF(ISNUMBER(SEARCH("f",I12)),VLOOKUP(I4,栽培スケジュール!$A:$AN,MATCH("粗収益/月",栽培スケジュール!$1:$1,0),0),"")</f>
        <v>550</v>
      </c>
      <c r="J28" s="16">
        <f>IF(ISNUMBER(SEARCH("f",J12)),VLOOKUP(J4,栽培スケジュール!$A:$AN,MATCH("粗収益/月",栽培スケジュール!$1:$1,0),0),"")</f>
        <v>550</v>
      </c>
      <c r="K28" s="16" t="str">
        <f>IF(ISNUMBER(SEARCH("f",K12)),VLOOKUP(K4,栽培スケジュール!$A:$AN,MATCH("粗収益/月",栽培スケジュール!$1:$1,0),0),"")</f>
        <v/>
      </c>
      <c r="L28" s="16" t="str">
        <f>IF(ISNUMBER(SEARCH("f",L12)),VLOOKUP(L4,栽培スケジュール!$A:$AN,MATCH("粗収益/月",栽培スケジュール!$1:$1,0),0),"")</f>
        <v/>
      </c>
      <c r="M28" s="16" t="str">
        <f>IF(ISNUMBER(SEARCH("f",M12)),VLOOKUP(M4,栽培スケジュール!$A:$AN,MATCH("粗収益/月",栽培スケジュール!$1:$1,0),0),"")</f>
        <v/>
      </c>
      <c r="N28" s="16" t="str">
        <f>IF(ISNUMBER(SEARCH("f",N12)),VLOOKUP(N4,栽培スケジュール!$A:$AN,MATCH("粗収益/月",栽培スケジュール!$1:$1,0),0),"")</f>
        <v/>
      </c>
      <c r="O28" s="16">
        <f>IF(ISNUMBER(SEARCH("f",O12)),VLOOKUP(O4,栽培スケジュール!$A:$AN,MATCH("粗収益/月",栽培スケジュール!$1:$1,0),0),"")</f>
        <v>199.45848375451266</v>
      </c>
      <c r="P28" s="16">
        <f>IF(ISNUMBER(SEARCH("f",P12)),VLOOKUP(P4,栽培スケジュール!$A:$AN,MATCH("粗収益/月",栽培スケジュール!$1:$1,0),0),"")</f>
        <v>199.45848375451266</v>
      </c>
      <c r="Q28" s="16" t="str">
        <f>IF(ISNUMBER(SEARCH("f",Q12)),VLOOKUP(Q4,栽培スケジュール!$A:$AN,MATCH("粗収益/月",栽培スケジュール!$1:$1,0),0),"")</f>
        <v/>
      </c>
      <c r="R28" s="16" t="str">
        <f>IF(ISNUMBER(SEARCH("f",R12)),VLOOKUP(R4,栽培スケジュール!$A:$AN,MATCH("粗収益/月",栽培スケジュール!$1:$1,0),0),"")</f>
        <v/>
      </c>
      <c r="S28" s="16" t="str">
        <f>IF(ISNUMBER(SEARCH("f",S12)),VLOOKUP(S4,栽培スケジュール!$A:$AN,MATCH("粗収益/月",栽培スケジュール!$1:$1,0),0),"")</f>
        <v/>
      </c>
      <c r="T28" s="16" t="str">
        <f>IF(ISNUMBER(SEARCH("f",T12)),VLOOKUP(T4,栽培スケジュール!$A:$AN,MATCH("粗収益/月",栽培スケジュール!$1:$1,0),0),"")</f>
        <v/>
      </c>
      <c r="U28" s="16" t="str">
        <f>IF(ISNUMBER(SEARCH("f",U12)),VLOOKUP(U4,栽培スケジュール!$A:$AN,MATCH("粗収益/月",栽培スケジュール!$1:$1,0),0),"")</f>
        <v/>
      </c>
      <c r="V28" s="16" t="str">
        <f>IF(ISNUMBER(SEARCH("f",V12)),VLOOKUP(V4,栽培スケジュール!$A:$AN,MATCH("粗収益/月",栽培スケジュール!$1:$1,0),0),"")</f>
        <v/>
      </c>
      <c r="W28" s="16">
        <f>IF(ISNUMBER(SEARCH("f",W12)),VLOOKUP(W4,栽培スケジュール!$A:$AN,MATCH("粗収益/月",栽培スケジュール!$1:$1,0),0),"")</f>
        <v>575.16930022573365</v>
      </c>
      <c r="X28" s="16" t="str">
        <f>IF(ISNUMBER(SEARCH("f",X12)),VLOOKUP(X4,栽培スケジュール!$A:$AN,MATCH("粗収益/月",栽培スケジュール!$1:$1,0),0),"")</f>
        <v/>
      </c>
      <c r="Y28" s="16" t="str">
        <f>IF(ISNUMBER(SEARCH("f",Y12)),VLOOKUP(Y4,栽培スケジュール!$A:$AN,MATCH("粗収益/月",栽培スケジュール!$1:$1,0),0),"")</f>
        <v/>
      </c>
      <c r="Z28" s="16" t="str">
        <f>IF(ISNUMBER(SEARCH("f",Z12)),VLOOKUP(Z4,栽培スケジュール!$A:$AN,MATCH("粗収益/月",栽培スケジュール!$1:$1,0),0),"")</f>
        <v/>
      </c>
      <c r="AA28" s="16" t="str">
        <f>IF(ISNUMBER(SEARCH("f",AA12)),VLOOKUP(AA4,栽培スケジュール!$A:$AN,MATCH("粗収益/月",栽培スケジュール!$1:$1,0),0),"")</f>
        <v/>
      </c>
      <c r="AB28" s="16" t="str">
        <f>IF(ISNUMBER(SEARCH("f",AB12)),VLOOKUP(AB4,栽培スケジュール!$A:$AN,MATCH("粗収益/月",栽培スケジュール!$1:$1,0),0),"")</f>
        <v/>
      </c>
      <c r="AC28" s="16" t="str">
        <f>IF(ISNUMBER(SEARCH("f",AC12)),VLOOKUP(AC4,栽培スケジュール!$A:$AN,MATCH("粗収益/月",栽培スケジュール!$1:$1,0),0),"")</f>
        <v/>
      </c>
      <c r="AD28" s="16">
        <f>IF(ISNUMBER(SEARCH("f",AD12)),VLOOKUP(AD4,栽培スケジュール!$A:$AN,MATCH("粗収益/月",栽培スケジュール!$1:$1,0),0),"")</f>
        <v>255.9627690517743</v>
      </c>
      <c r="AE28" s="16">
        <f>IF(ISNUMBER(SEARCH("f",AE12)),VLOOKUP(AE4,栽培スケジュール!$A:$AN,MATCH("粗収益/月",栽培スケジュール!$1:$1,0),0),"")</f>
        <v>255.9627690517743</v>
      </c>
      <c r="AF28" s="16">
        <f>IF(ISNUMBER(SEARCH("f",AF12)),VLOOKUP(AF4,栽培スケジュール!$A:$AN,MATCH("粗収益/月",栽培スケジュール!$1:$1,0),0),"")</f>
        <v>255.9627690517743</v>
      </c>
      <c r="AG28" s="16" t="str">
        <f>IF(ISNUMBER(SEARCH("f",AG12)),VLOOKUP(AG4,栽培スケジュール!$A:$AN,MATCH("粗収益/月",栽培スケジュール!$1:$1,0),0),"")</f>
        <v/>
      </c>
      <c r="AH28" s="16" t="str">
        <f>IF(ISNUMBER(SEARCH("f",AH12)),VLOOKUP(AH4,栽培スケジュール!$A:$AN,MATCH("粗収益/月",栽培スケジュール!$1:$1,0),0),"")</f>
        <v/>
      </c>
      <c r="AI28" s="16" t="str">
        <f>IF(ISNUMBER(SEARCH("f",AI12)),VLOOKUP(AI4,栽培スケジュール!$A:$AN,MATCH("粗収益/月",栽培スケジュール!$1:$1,0),0),"")</f>
        <v/>
      </c>
      <c r="AJ28" s="16" t="str">
        <f>IF(ISNUMBER(SEARCH("f",AJ12)),VLOOKUP(AJ4,栽培スケジュール!$A:$AN,MATCH("粗収益/月",栽培スケジュール!$1:$1,0),0),"")</f>
        <v/>
      </c>
      <c r="AK28" s="16" t="str">
        <f>IF(ISNUMBER(SEARCH("f",AK12)),VLOOKUP(AK4,栽培スケジュール!$A:$AN,MATCH("粗収益/月",栽培スケジュール!$1:$1,0),0),"")</f>
        <v/>
      </c>
      <c r="AL28" s="16" t="str">
        <f>IF(ISNUMBER(SEARCH("f",AL12)),VLOOKUP(AL4,栽培スケジュール!$A:$AN,MATCH("粗収益/月",栽培スケジュール!$1:$1,0),0),"")</f>
        <v/>
      </c>
      <c r="AM28" s="16">
        <f>IF(ISNUMBER(SEARCH("f",AM12)),VLOOKUP(AM4,栽培スケジュール!$A:$AN,MATCH("粗収益/月",栽培スケジュール!$1:$1,0),0),"")</f>
        <v>550</v>
      </c>
      <c r="AN28" s="16">
        <f>IF(ISNUMBER(SEARCH("f",AN12)),VLOOKUP(AN4,栽培スケジュール!$A:$AN,MATCH("粗収益/月",栽培スケジュール!$1:$1,0),0),"")</f>
        <v>550</v>
      </c>
      <c r="AO28" s="16" t="str">
        <f>IF(ISNUMBER(SEARCH("f",AO12)),VLOOKUP(AO4,栽培スケジュール!$A:$AN,MATCH("粗収益/月",栽培スケジュール!$1:$1,0),0),"")</f>
        <v/>
      </c>
      <c r="AP28" s="16" t="str">
        <f>IF(ISNUMBER(SEARCH("f",AP12)),VLOOKUP(AP4,栽培スケジュール!$A:$AN,MATCH("粗収益/月",栽培スケジュール!$1:$1,0),0),"")</f>
        <v/>
      </c>
      <c r="AQ28" s="16" t="str">
        <f>IF(ISNUMBER(SEARCH("f",AQ12)),VLOOKUP(AQ4,栽培スケジュール!$A:$AN,MATCH("粗収益/月",栽培スケジュール!$1:$1,0),0),"")</f>
        <v/>
      </c>
      <c r="AR28" s="16" t="str">
        <f>IF(ISNUMBER(SEARCH("f",AR12)),VLOOKUP(AR4,栽培スケジュール!$A:$AN,MATCH("粗収益/月",栽培スケジュール!$1:$1,0),0),"")</f>
        <v/>
      </c>
      <c r="AS28" s="16" t="str">
        <f>IF(ISNUMBER(SEARCH("f",AS12)),VLOOKUP(AS4,栽培スケジュール!$A:$AN,MATCH("粗収益/月",栽培スケジュール!$1:$1,0),0),"")</f>
        <v/>
      </c>
      <c r="AT28" s="16" t="str">
        <f>IF(ISNUMBER(SEARCH("f",AT12)),VLOOKUP(AT4,栽培スケジュール!$A:$AN,MATCH("粗収益/月",栽培スケジュール!$1:$1,0),0),"")</f>
        <v/>
      </c>
      <c r="AU28" s="16">
        <f>IF(ISNUMBER(SEARCH("f",AU12)),VLOOKUP(AU4,栽培スケジュール!$A:$AN,MATCH("粗収益/月",栽培スケジュール!$1:$1,0),0),"")</f>
        <v>575.16930022573365</v>
      </c>
      <c r="AV28" s="16" t="str">
        <f>IF(ISNUMBER(SEARCH("f",AV12)),VLOOKUP(AV4,栽培スケジュール!$A:$AN,MATCH("粗収益/月",栽培スケジュール!$1:$1,0),0),"")</f>
        <v/>
      </c>
      <c r="AW28" s="16" t="str">
        <f>IF(ISNUMBER(SEARCH("f",AW12)),VLOOKUP(AW4,栽培スケジュール!$A:$AN,MATCH("粗収益/月",栽培スケジュール!$1:$1,0),0),"")</f>
        <v/>
      </c>
      <c r="AX28" s="16" t="str">
        <f>IF(ISNUMBER(SEARCH("f",AX12)),VLOOKUP(AX4,栽培スケジュール!$A:$AN,MATCH("粗収益/月",栽培スケジュール!$1:$1,0),0),"")</f>
        <v/>
      </c>
      <c r="AY28" s="16" t="str">
        <f>IF(ISNUMBER(SEARCH("f",AY12)),VLOOKUP(AY4,栽培スケジュール!$A:$AN,MATCH("粗収益/月",栽培スケジュール!$1:$1,0),0),"")</f>
        <v/>
      </c>
    </row>
    <row r="29" spans="1:52" ht="18" customHeight="1">
      <c r="B29" s="12" t="s">
        <v>95</v>
      </c>
      <c r="C29" s="16" t="str">
        <f>IF(ISNUMBER(SEARCH("f",C13)),VLOOKUP(C5,栽培スケジュール!$A:$AN,MATCH("粗収益/月",栽培スケジュール!$1:$1,0),0),"")</f>
        <v/>
      </c>
      <c r="D29" s="16" t="str">
        <f>IF(ISNUMBER(SEARCH("f",D13)),VLOOKUP(D5,栽培スケジュール!$A:$AN,MATCH("粗収益/月",栽培スケジュール!$1:$1,0),0),"")</f>
        <v/>
      </c>
      <c r="E29" s="16" t="str">
        <f>IF(ISNUMBER(SEARCH("f",E13)),VLOOKUP(E5,栽培スケジュール!$A:$AN,MATCH("粗収益/月",栽培スケジュール!$1:$1,0),0),"")</f>
        <v/>
      </c>
      <c r="F29" s="16" t="str">
        <f>IF(ISNUMBER(SEARCH("f",F13)),VLOOKUP(F5,栽培スケジュール!$A:$AN,MATCH("粗収益/月",栽培スケジュール!$1:$1,0),0),"")</f>
        <v/>
      </c>
      <c r="G29" s="16" t="str">
        <f>IF(ISNUMBER(SEARCH("f",G13)),VLOOKUP(G5,栽培スケジュール!$A:$AN,MATCH("粗収益/月",栽培スケジュール!$1:$1,0),0),"")</f>
        <v/>
      </c>
      <c r="H29" s="16" t="str">
        <f>IF(ISNUMBER(SEARCH("f",H13)),VLOOKUP(H5,栽培スケジュール!$A:$AN,MATCH("粗収益/月",栽培スケジュール!$1:$1,0),0),"")</f>
        <v/>
      </c>
      <c r="I29" s="16" t="str">
        <f>IF(ISNUMBER(SEARCH("f",I13)),VLOOKUP(I5,栽培スケジュール!$A:$AN,MATCH("粗収益/月",栽培スケジュール!$1:$1,0),0),"")</f>
        <v/>
      </c>
      <c r="J29" s="16" t="str">
        <f>IF(ISNUMBER(SEARCH("f",J13)),VLOOKUP(J5,栽培スケジュール!$A:$AN,MATCH("粗収益/月",栽培スケジュール!$1:$1,0),0),"")</f>
        <v/>
      </c>
      <c r="K29" s="16">
        <f>IF(ISNUMBER(SEARCH("f",K13)),VLOOKUP(K5,栽培スケジュール!$A:$AN,MATCH("粗収益/月",栽培スケジュール!$1:$1,0),0),"")</f>
        <v>550</v>
      </c>
      <c r="L29" s="16">
        <f>IF(ISNUMBER(SEARCH("f",L13)),VLOOKUP(L5,栽培スケジュール!$A:$AN,MATCH("粗収益/月",栽培スケジュール!$1:$1,0),0),"")</f>
        <v>550</v>
      </c>
      <c r="M29" s="16" t="str">
        <f>IF(ISNUMBER(SEARCH("f",M13)),VLOOKUP(M5,栽培スケジュール!$A:$AN,MATCH("粗収益/月",栽培スケジュール!$1:$1,0),0),"")</f>
        <v/>
      </c>
      <c r="N29" s="16" t="str">
        <f>IF(ISNUMBER(SEARCH("f",N13)),VLOOKUP(N5,栽培スケジュール!$A:$AN,MATCH("粗収益/月",栽培スケジュール!$1:$1,0),0),"")</f>
        <v/>
      </c>
      <c r="O29" s="16" t="str">
        <f>IF(ISNUMBER(SEARCH("f",O13)),VLOOKUP(O5,栽培スケジュール!$A:$AN,MATCH("粗収益/月",栽培スケジュール!$1:$1,0),0),"")</f>
        <v/>
      </c>
      <c r="P29" s="16" t="str">
        <f>IF(ISNUMBER(SEARCH("f",P13)),VLOOKUP(P5,栽培スケジュール!$A:$AN,MATCH("粗収益/月",栽培スケジュール!$1:$1,0),0),"")</f>
        <v/>
      </c>
      <c r="Q29" s="16" t="str">
        <f>IF(ISNUMBER(SEARCH("f",Q13)),VLOOKUP(Q5,栽培スケジュール!$A:$AN,MATCH("粗収益/月",栽培スケジュール!$1:$1,0),0),"")</f>
        <v/>
      </c>
      <c r="R29" s="16" t="str">
        <f>IF(ISNUMBER(SEARCH("f",R13)),VLOOKUP(R5,栽培スケジュール!$A:$AN,MATCH("粗収益/月",栽培スケジュール!$1:$1,0),0),"")</f>
        <v/>
      </c>
      <c r="S29" s="16" t="str">
        <f>IF(ISNUMBER(SEARCH("f",S13)),VLOOKUP(S5,栽培スケジュール!$A:$AN,MATCH("粗収益/月",栽培スケジュール!$1:$1,0),0),"")</f>
        <v/>
      </c>
      <c r="T29" s="16">
        <f>IF(ISNUMBER(SEARCH("f",T13)),VLOOKUP(T5,栽培スケジュール!$A:$AN,MATCH("粗収益/月",栽培スケジュール!$1:$1,0),0),"")</f>
        <v>394.68690702087287</v>
      </c>
      <c r="U29" s="16" t="str">
        <f>IF(ISNUMBER(SEARCH("f",U13)),VLOOKUP(U5,栽培スケジュール!$A:$AN,MATCH("粗収益/月",栽培スケジュール!$1:$1,0),0),"")</f>
        <v/>
      </c>
      <c r="V29" s="16" t="str">
        <f>IF(ISNUMBER(SEARCH("f",V13)),VLOOKUP(V5,栽培スケジュール!$A:$AN,MATCH("粗収益/月",栽培スケジュール!$1:$1,0),0),"")</f>
        <v/>
      </c>
      <c r="W29" s="16" t="str">
        <f>IF(ISNUMBER(SEARCH("f",W13)),VLOOKUP(W5,栽培スケジュール!$A:$AN,MATCH("粗収益/月",栽培スケジュール!$1:$1,0),0),"")</f>
        <v/>
      </c>
      <c r="X29" s="16" t="str">
        <f>IF(ISNUMBER(SEARCH("f",X13)),VLOOKUP(X5,栽培スケジュール!$A:$AN,MATCH("粗収益/月",栽培スケジュール!$1:$1,0),0),"")</f>
        <v/>
      </c>
      <c r="Y29" s="16">
        <f>IF(ISNUMBER(SEARCH("f",Y13)),VLOOKUP(Y5,栽培スケジュール!$A:$AN,MATCH("粗収益/月",栽培スケジュール!$1:$1,0),0),"")</f>
        <v>199.45848375451266</v>
      </c>
      <c r="Z29" s="16">
        <f>IF(ISNUMBER(SEARCH("f",Z13)),VLOOKUP(Z5,栽培スケジュール!$A:$AN,MATCH("粗収益/月",栽培スケジュール!$1:$1,0),0),"")</f>
        <v>199.45848375451266</v>
      </c>
      <c r="AA29" s="16" t="str">
        <f>IF(ISNUMBER(SEARCH("f",AA13)),VLOOKUP(AA5,栽培スケジュール!$A:$AN,MATCH("粗収益/月",栽培スケジュール!$1:$1,0),0),"")</f>
        <v/>
      </c>
      <c r="AB29" s="16" t="str">
        <f>IF(ISNUMBER(SEARCH("f",AB13)),VLOOKUP(AB5,栽培スケジュール!$A:$AN,MATCH("粗収益/月",栽培スケジュール!$1:$1,0),0),"")</f>
        <v/>
      </c>
      <c r="AC29" s="16" t="str">
        <f>IF(ISNUMBER(SEARCH("f",AC13)),VLOOKUP(AC5,栽培スケジュール!$A:$AN,MATCH("粗収益/月",栽培スケジュール!$1:$1,0),0),"")</f>
        <v/>
      </c>
      <c r="AD29" s="16" t="str">
        <f>IF(ISNUMBER(SEARCH("f",AD13)),VLOOKUP(AD5,栽培スケジュール!$A:$AN,MATCH("粗収益/月",栽培スケジュール!$1:$1,0),0),"")</f>
        <v/>
      </c>
      <c r="AE29" s="16" t="str">
        <f>IF(ISNUMBER(SEARCH("f",AE13)),VLOOKUP(AE5,栽培スケジュール!$A:$AN,MATCH("粗収益/月",栽培スケジュール!$1:$1,0),0),"")</f>
        <v/>
      </c>
      <c r="AF29" s="16" t="str">
        <f>IF(ISNUMBER(SEARCH("f",AF13)),VLOOKUP(AF5,栽培スケジュール!$A:$AN,MATCH("粗収益/月",栽培スケジュール!$1:$1,0),0),"")</f>
        <v/>
      </c>
      <c r="AG29" s="16" t="str">
        <f>IF(ISNUMBER(SEARCH("f",AG13)),VLOOKUP(AG5,栽培スケジュール!$A:$AN,MATCH("粗収益/月",栽培スケジュール!$1:$1,0),0),"")</f>
        <v/>
      </c>
      <c r="AH29" s="16" t="str">
        <f>IF(ISNUMBER(SEARCH("f",AH13)),VLOOKUP(AH5,栽培スケジュール!$A:$AN,MATCH("粗収益/月",栽培スケジュール!$1:$1,0),0),"")</f>
        <v/>
      </c>
      <c r="AI29" s="16">
        <f>IF(ISNUMBER(SEARCH("f",AI13)),VLOOKUP(AI5,栽培スケジュール!$A:$AN,MATCH("粗収益/月",栽培スケジュール!$1:$1,0),0),"")</f>
        <v>575.16930022573365</v>
      </c>
      <c r="AJ29" s="16" t="str">
        <f>IF(ISNUMBER(SEARCH("f",AJ13)),VLOOKUP(AJ5,栽培スケジュール!$A:$AN,MATCH("粗収益/月",栽培スケジュール!$1:$1,0),0),"")</f>
        <v/>
      </c>
      <c r="AK29" s="16" t="str">
        <f>IF(ISNUMBER(SEARCH("f",AK13)),VLOOKUP(AK5,栽培スケジュール!$A:$AN,MATCH("粗収益/月",栽培スケジュール!$1:$1,0),0),"")</f>
        <v/>
      </c>
      <c r="AL29" s="16" t="str">
        <f>IF(ISNUMBER(SEARCH("f",AL13)),VLOOKUP(AL5,栽培スケジュール!$A:$AN,MATCH("粗収益/月",栽培スケジュール!$1:$1,0),0),"")</f>
        <v/>
      </c>
      <c r="AM29" s="16" t="str">
        <f>IF(ISNUMBER(SEARCH("f",AM13)),VLOOKUP(AM5,栽培スケジュール!$A:$AN,MATCH("粗収益/月",栽培スケジュール!$1:$1,0),0),"")</f>
        <v/>
      </c>
      <c r="AN29" s="16" t="str">
        <f>IF(ISNUMBER(SEARCH("f",AN13)),VLOOKUP(AN5,栽培スケジュール!$A:$AN,MATCH("粗収益/月",栽培スケジュール!$1:$1,0),0),"")</f>
        <v/>
      </c>
      <c r="AO29" s="16" t="str">
        <f>IF(ISNUMBER(SEARCH("f",AO13)),VLOOKUP(AO5,栽培スケジュール!$A:$AN,MATCH("粗収益/月",栽培スケジュール!$1:$1,0),0),"")</f>
        <v/>
      </c>
      <c r="AP29" s="16" t="str">
        <f>IF(ISNUMBER(SEARCH("f",AP13)),VLOOKUP(AP5,栽培スケジュール!$A:$AN,MATCH("粗収益/月",栽培スケジュール!$1:$1,0),0),"")</f>
        <v/>
      </c>
      <c r="AQ29" s="16">
        <f>IF(ISNUMBER(SEARCH("f",AQ13)),VLOOKUP(AQ5,栽培スケジュール!$A:$AN,MATCH("粗収益/月",栽培スケジュール!$1:$1,0),0),"")</f>
        <v>394.68690702087287</v>
      </c>
      <c r="AR29" s="16" t="str">
        <f>IF(ISNUMBER(SEARCH("f",AR13)),VLOOKUP(AR5,栽培スケジュール!$A:$AN,MATCH("粗収益/月",栽培スケジュール!$1:$1,0),0),"")</f>
        <v/>
      </c>
      <c r="AS29" s="16" t="str">
        <f>IF(ISNUMBER(SEARCH("f",AS13)),VLOOKUP(AS5,栽培スケジュール!$A:$AN,MATCH("粗収益/月",栽培スケジュール!$1:$1,0),0),"")</f>
        <v/>
      </c>
      <c r="AT29" s="16" t="str">
        <f>IF(ISNUMBER(SEARCH("f",AT13)),VLOOKUP(AT5,栽培スケジュール!$A:$AN,MATCH("粗収益/月",栽培スケジュール!$1:$1,0),0),"")</f>
        <v/>
      </c>
      <c r="AU29" s="16" t="str">
        <f>IF(ISNUMBER(SEARCH("f",AU13)),VLOOKUP(AU5,栽培スケジュール!$A:$AN,MATCH("粗収益/月",栽培スケジュール!$1:$1,0),0),"")</f>
        <v/>
      </c>
      <c r="AV29" s="16" t="str">
        <f>IF(ISNUMBER(SEARCH("f",AV13)),VLOOKUP(AV5,栽培スケジュール!$A:$AN,MATCH("粗収益/月",栽培スケジュール!$1:$1,0),0),"")</f>
        <v/>
      </c>
      <c r="AW29" s="16">
        <f>IF(ISNUMBER(SEARCH("f",AW13)),VLOOKUP(AW5,栽培スケジュール!$A:$AN,MATCH("粗収益/月",栽培スケジュール!$1:$1,0),0),"")</f>
        <v>550</v>
      </c>
      <c r="AX29" s="16">
        <f>IF(ISNUMBER(SEARCH("f",AX13)),VLOOKUP(AX5,栽培スケジュール!$A:$AN,MATCH("粗収益/月",栽培スケジュール!$1:$1,0),0),"")</f>
        <v>550</v>
      </c>
      <c r="AY29" s="16" t="str">
        <f>IF(ISNUMBER(SEARCH("f",AY13)),VLOOKUP(AY5,栽培スケジュール!$A:$AN,MATCH("粗収益/月",栽培スケジュール!$1:$1,0),0),"")</f>
        <v/>
      </c>
    </row>
    <row r="30" spans="1:52" ht="18" customHeight="1">
      <c r="A30" s="31"/>
      <c r="B30" s="32" t="s">
        <v>96</v>
      </c>
      <c r="C30" s="33" t="str">
        <f>IF(ISNUMBER(SEARCH("f",C14)),VLOOKUP(C6,栽培スケジュール!$A:$AN,MATCH("粗収益/月",栽培スケジュール!$1:$1,0),0),"")</f>
        <v/>
      </c>
      <c r="D30" s="33" t="str">
        <f>IF(ISNUMBER(SEARCH("f",D14)),VLOOKUP(D6,栽培スケジュール!$A:$AN,MATCH("粗収益/月",栽培スケジュール!$1:$1,0),0),"")</f>
        <v/>
      </c>
      <c r="E30" s="33" t="str">
        <f>IF(ISNUMBER(SEARCH("f",E14)),VLOOKUP(E6,栽培スケジュール!$A:$AN,MATCH("粗収益/月",栽培スケジュール!$1:$1,0),0),"")</f>
        <v/>
      </c>
      <c r="F30" s="33" t="str">
        <f>IF(ISNUMBER(SEARCH("f",F14)),VLOOKUP(F6,栽培スケジュール!$A:$AN,MATCH("粗収益/月",栽培スケジュール!$1:$1,0),0),"")</f>
        <v/>
      </c>
      <c r="G30" s="33">
        <f>IF(ISNUMBER(SEARCH("f",G14)),VLOOKUP(G6,栽培スケジュール!$A:$AN,MATCH("粗収益/月",栽培スケジュール!$1:$1,0),0),"")</f>
        <v>394.68690702087287</v>
      </c>
      <c r="H30" s="33" t="str">
        <f>IF(ISNUMBER(SEARCH("f",H14)),VLOOKUP(H6,栽培スケジュール!$A:$AN,MATCH("粗収益/月",栽培スケジュール!$1:$1,0),0),"")</f>
        <v/>
      </c>
      <c r="I30" s="33" t="str">
        <f>IF(ISNUMBER(SEARCH("f",I14)),VLOOKUP(I6,栽培スケジュール!$A:$AN,MATCH("粗収益/月",栽培スケジュール!$1:$1,0),0),"")</f>
        <v/>
      </c>
      <c r="J30" s="33" t="str">
        <f>IF(ISNUMBER(SEARCH("f",J14)),VLOOKUP(J6,栽培スケジュール!$A:$AN,MATCH("粗収益/月",栽培スケジュール!$1:$1,0),0),"")</f>
        <v/>
      </c>
      <c r="K30" s="33" t="str">
        <f>IF(ISNUMBER(SEARCH("f",K14)),VLOOKUP(K6,栽培スケジュール!$A:$AN,MATCH("粗収益/月",栽培スケジュール!$1:$1,0),0),"")</f>
        <v/>
      </c>
      <c r="L30" s="33" t="str">
        <f>IF(ISNUMBER(SEARCH("f",L14)),VLOOKUP(L6,栽培スケジュール!$A:$AN,MATCH("粗収益/月",栽培スケジュール!$1:$1,0),0),"")</f>
        <v/>
      </c>
      <c r="M30" s="33" t="str">
        <f>IF(ISNUMBER(SEARCH("f",M14)),VLOOKUP(M6,栽培スケジュール!$A:$AN,MATCH("粗収益/月",栽培スケジュール!$1:$1,0),0),"")</f>
        <v/>
      </c>
      <c r="N30" s="33" t="str">
        <f>IF(ISNUMBER(SEARCH("f",N14)),VLOOKUP(N6,栽培スケジュール!$A:$AN,MATCH("粗収益/月",栽培スケジュール!$1:$1,0),0),"")</f>
        <v/>
      </c>
      <c r="O30" s="33">
        <f>IF(ISNUMBER(SEARCH("f",O14)),VLOOKUP(O6,栽培スケジュール!$A:$AN,MATCH("粗収益/月",栽培スケジュール!$1:$1,0),0),"")</f>
        <v>550</v>
      </c>
      <c r="P30" s="33">
        <f>IF(ISNUMBER(SEARCH("f",P14)),VLOOKUP(P6,栽培スケジュール!$A:$AN,MATCH("粗収益/月",栽培スケジュール!$1:$1,0),0),"")</f>
        <v>550</v>
      </c>
      <c r="Q30" s="33" t="str">
        <f>IF(ISNUMBER(SEARCH("f",Q14)),VLOOKUP(Q6,栽培スケジュール!$A:$AN,MATCH("粗収益/月",栽培スケジュール!$1:$1,0),0),"")</f>
        <v/>
      </c>
      <c r="R30" s="33" t="str">
        <f>IF(ISNUMBER(SEARCH("f",R14)),VLOOKUP(R6,栽培スケジュール!$A:$AN,MATCH("粗収益/月",栽培スケジュール!$1:$1,0),0),"")</f>
        <v/>
      </c>
      <c r="S30" s="33" t="str">
        <f>IF(ISNUMBER(SEARCH("f",S14)),VLOOKUP(S6,栽培スケジュール!$A:$AN,MATCH("粗収益/月",栽培スケジュール!$1:$1,0),0),"")</f>
        <v/>
      </c>
      <c r="T30" s="33" t="str">
        <f>IF(ISNUMBER(SEARCH("f",T14)),VLOOKUP(T6,栽培スケジュール!$A:$AN,MATCH("粗収益/月",栽培スケジュール!$1:$1,0),0),"")</f>
        <v/>
      </c>
      <c r="U30" s="33" t="str">
        <f>IF(ISNUMBER(SEARCH("f",U14)),VLOOKUP(U6,栽培スケジュール!$A:$AN,MATCH("粗収益/月",栽培スケジュール!$1:$1,0),0),"")</f>
        <v/>
      </c>
      <c r="V30" s="33" t="str">
        <f>IF(ISNUMBER(SEARCH("f",V14)),VLOOKUP(V6,栽培スケジュール!$A:$AN,MATCH("粗収益/月",栽培スケジュール!$1:$1,0),0),"")</f>
        <v/>
      </c>
      <c r="W30" s="33">
        <f>IF(ISNUMBER(SEARCH("f",W14)),VLOOKUP(W6,栽培スケジュール!$A:$AN,MATCH("粗収益/月",栽培スケジュール!$1:$1,0),0),"")</f>
        <v>575.16930022573365</v>
      </c>
      <c r="X30" s="33" t="str">
        <f>IF(ISNUMBER(SEARCH("f",X14)),VLOOKUP(X6,栽培スケジュール!$A:$AN,MATCH("粗収益/月",栽培スケジュール!$1:$1,0),0),"")</f>
        <v/>
      </c>
      <c r="Y30" s="33" t="str">
        <f>IF(ISNUMBER(SEARCH("f",Y14)),VLOOKUP(Y6,栽培スケジュール!$A:$AN,MATCH("粗収益/月",栽培スケジュール!$1:$1,0),0),"")</f>
        <v/>
      </c>
      <c r="Z30" s="33" t="str">
        <f>IF(ISNUMBER(SEARCH("f",Z14)),VLOOKUP(Z6,栽培スケジュール!$A:$AN,MATCH("粗収益/月",栽培スケジュール!$1:$1,0),0),"")</f>
        <v/>
      </c>
      <c r="AA30" s="33" t="str">
        <f>IF(ISNUMBER(SEARCH("f",AA14)),VLOOKUP(AA6,栽培スケジュール!$A:$AN,MATCH("粗収益/月",栽培スケジュール!$1:$1,0),0),"")</f>
        <v/>
      </c>
      <c r="AB30" s="33">
        <f>IF(ISNUMBER(SEARCH("f",AB14)),VLOOKUP(AB6,栽培スケジュール!$A:$AN,MATCH("粗収益/月",栽培スケジュール!$1:$1,0),0),"")</f>
        <v>199.45848375451266</v>
      </c>
      <c r="AC30" s="33">
        <f>IF(ISNUMBER(SEARCH("f",AC14)),VLOOKUP(AC6,栽培スケジュール!$A:$AN,MATCH("粗収益/月",栽培スケジュール!$1:$1,0),0),"")</f>
        <v>199.45848375451266</v>
      </c>
      <c r="AD30" s="33" t="str">
        <f>IF(ISNUMBER(SEARCH("f",AD14)),VLOOKUP(AD6,栽培スケジュール!$A:$AN,MATCH("粗収益/月",栽培スケジュール!$1:$1,0),0),"")</f>
        <v/>
      </c>
      <c r="AE30" s="33" t="str">
        <f>IF(ISNUMBER(SEARCH("f",AE14)),VLOOKUP(AE6,栽培スケジュール!$A:$AN,MATCH("粗収益/月",栽培スケジュール!$1:$1,0),0),"")</f>
        <v/>
      </c>
      <c r="AF30" s="33" t="str">
        <f>IF(ISNUMBER(SEARCH("f",AF14)),VLOOKUP(AF6,栽培スケジュール!$A:$AN,MATCH("粗収益/月",栽培スケジュール!$1:$1,0),0),"")</f>
        <v/>
      </c>
      <c r="AG30" s="33" t="str">
        <f>IF(ISNUMBER(SEARCH("f",AG14)),VLOOKUP(AG6,栽培スケジュール!$A:$AN,MATCH("粗収益/月",栽培スケジュール!$1:$1,0),0),"")</f>
        <v/>
      </c>
      <c r="AH30" s="33" t="str">
        <f>IF(ISNUMBER(SEARCH("f",AH14)),VLOOKUP(AH6,栽培スケジュール!$A:$AN,MATCH("粗収益/月",栽培スケジュール!$1:$1,0),0),"")</f>
        <v/>
      </c>
      <c r="AI30" s="33">
        <f>IF(ISNUMBER(SEARCH("f",AI14)),VLOOKUP(AI6,栽培スケジュール!$A:$AN,MATCH("粗収益/月",栽培スケジュール!$1:$1,0),0),"")</f>
        <v>550</v>
      </c>
      <c r="AJ30" s="33">
        <f>IF(ISNUMBER(SEARCH("f",AJ14)),VLOOKUP(AJ6,栽培スケジュール!$A:$AN,MATCH("粗収益/月",栽培スケジュール!$1:$1,0),0),"")</f>
        <v>550</v>
      </c>
      <c r="AK30" s="33" t="str">
        <f>IF(ISNUMBER(SEARCH("f",AK14)),VLOOKUP(AK6,栽培スケジュール!$A:$AN,MATCH("粗収益/月",栽培スケジュール!$1:$1,0),0),"")</f>
        <v/>
      </c>
      <c r="AL30" s="33" t="str">
        <f>IF(ISNUMBER(SEARCH("f",AL14)),VLOOKUP(AL6,栽培スケジュール!$A:$AN,MATCH("粗収益/月",栽培スケジュール!$1:$1,0),0),"")</f>
        <v/>
      </c>
      <c r="AM30" s="33" t="str">
        <f>IF(ISNUMBER(SEARCH("f",AM14)),VLOOKUP(AM6,栽培スケジュール!$A:$AN,MATCH("粗収益/月",栽培スケジュール!$1:$1,0),0),"")</f>
        <v/>
      </c>
      <c r="AN30" s="33" t="str">
        <f>IF(ISNUMBER(SEARCH("f",AN14)),VLOOKUP(AN6,栽培スケジュール!$A:$AN,MATCH("粗収益/月",栽培スケジュール!$1:$1,0),0),"")</f>
        <v/>
      </c>
      <c r="AO30" s="33" t="str">
        <f>IF(ISNUMBER(SEARCH("f",AO14)),VLOOKUP(AO6,栽培スケジュール!$A:$AN,MATCH("粗収益/月",栽培スケジュール!$1:$1,0),0),"")</f>
        <v/>
      </c>
      <c r="AP30" s="33" t="str">
        <f>IF(ISNUMBER(SEARCH("f",AP14)),VLOOKUP(AP6,栽培スケジュール!$A:$AN,MATCH("粗収益/月",栽培スケジュール!$1:$1,0),0),"")</f>
        <v/>
      </c>
      <c r="AQ30" s="33" t="str">
        <f>IF(ISNUMBER(SEARCH("f",AQ14)),VLOOKUP(AQ6,栽培スケジュール!$A:$AN,MATCH("粗収益/月",栽培スケジュール!$1:$1,0),0),"")</f>
        <v/>
      </c>
      <c r="AR30" s="33" t="str">
        <f>IF(ISNUMBER(SEARCH("f",AR14)),VLOOKUP(AR6,栽培スケジュール!$A:$AN,MATCH("粗収益/月",栽培スケジュール!$1:$1,0),0),"")</f>
        <v/>
      </c>
      <c r="AS30" s="33" t="str">
        <f>IF(ISNUMBER(SEARCH("f",AS14)),VLOOKUP(AS6,栽培スケジュール!$A:$AN,MATCH("粗収益/月",栽培スケジュール!$1:$1,0),0),"")</f>
        <v/>
      </c>
      <c r="AT30" s="33" t="str">
        <f>IF(ISNUMBER(SEARCH("f",AT14)),VLOOKUP(AT6,栽培スケジュール!$A:$AN,MATCH("粗収益/月",栽培スケジュール!$1:$1,0),0),"")</f>
        <v/>
      </c>
      <c r="AU30" s="33">
        <f>IF(ISNUMBER(SEARCH("f",AU14)),VLOOKUP(AU6,栽培スケジュール!$A:$AN,MATCH("粗収益/月",栽培スケジュール!$1:$1,0),0),"")</f>
        <v>575.16930022573365</v>
      </c>
      <c r="AV30" s="33" t="str">
        <f>IF(ISNUMBER(SEARCH("f",AV14)),VLOOKUP(AV6,栽培スケジュール!$A:$AN,MATCH("粗収益/月",栽培スケジュール!$1:$1,0),0),"")</f>
        <v/>
      </c>
      <c r="AW30" s="33" t="str">
        <f>IF(ISNUMBER(SEARCH("f",AW14)),VLOOKUP(AW6,栽培スケジュール!$A:$AN,MATCH("粗収益/月",栽培スケジュール!$1:$1,0),0),"")</f>
        <v/>
      </c>
      <c r="AX30" s="33" t="str">
        <f>IF(ISNUMBER(SEARCH("f",AX14)),VLOOKUP(AX6,栽培スケジュール!$A:$AN,MATCH("粗収益/月",栽培スケジュール!$1:$1,0),0),"")</f>
        <v/>
      </c>
      <c r="AY30" s="33" t="str">
        <f>IF(ISNUMBER(SEARCH("f",AY14)),VLOOKUP(AY6,栽培スケジュール!$A:$AN,MATCH("粗収益/月",栽培スケジュール!$1:$1,0),0),"")</f>
        <v/>
      </c>
      <c r="AZ30" s="31"/>
    </row>
    <row r="31" spans="1:52" ht="18" customHeight="1">
      <c r="B31" s="19" t="s">
        <v>101</v>
      </c>
      <c r="C31" s="20">
        <f t="shared" ref="C31:AH31" si="4">SUM(C32:C35)</f>
        <v>0</v>
      </c>
      <c r="D31" s="20">
        <f t="shared" si="4"/>
        <v>93.343453510436433</v>
      </c>
      <c r="E31" s="20">
        <f t="shared" si="4"/>
        <v>280.03036053130927</v>
      </c>
      <c r="F31" s="20">
        <f t="shared" si="4"/>
        <v>0</v>
      </c>
      <c r="G31" s="20">
        <f t="shared" si="4"/>
        <v>693</v>
      </c>
      <c r="H31" s="20">
        <f t="shared" si="4"/>
        <v>0</v>
      </c>
      <c r="I31" s="20">
        <f t="shared" si="4"/>
        <v>693</v>
      </c>
      <c r="J31" s="20">
        <f t="shared" si="4"/>
        <v>0</v>
      </c>
      <c r="K31" s="20">
        <f t="shared" si="4"/>
        <v>177.91696750902531</v>
      </c>
      <c r="L31" s="20">
        <f t="shared" si="4"/>
        <v>346.5</v>
      </c>
      <c r="M31" s="20">
        <f t="shared" si="4"/>
        <v>524.41696750902531</v>
      </c>
      <c r="N31" s="20">
        <f t="shared" si="4"/>
        <v>0</v>
      </c>
      <c r="O31" s="20">
        <f t="shared" si="4"/>
        <v>0</v>
      </c>
      <c r="P31" s="20">
        <f t="shared" si="4"/>
        <v>0</v>
      </c>
      <c r="Q31" s="20">
        <f t="shared" si="4"/>
        <v>186.68690702087287</v>
      </c>
      <c r="R31" s="20">
        <f t="shared" si="4"/>
        <v>0</v>
      </c>
      <c r="S31" s="20">
        <f t="shared" si="4"/>
        <v>1020.846501128668</v>
      </c>
      <c r="T31" s="20">
        <f t="shared" si="4"/>
        <v>327.84650112866814</v>
      </c>
      <c r="U31" s="20">
        <f t="shared" si="4"/>
        <v>0</v>
      </c>
      <c r="V31" s="20">
        <f t="shared" si="4"/>
        <v>0</v>
      </c>
      <c r="W31" s="20">
        <f t="shared" si="4"/>
        <v>177.91696750902531</v>
      </c>
      <c r="X31" s="20">
        <f t="shared" si="4"/>
        <v>0</v>
      </c>
      <c r="Y31" s="20">
        <f t="shared" si="4"/>
        <v>556.62684000000002</v>
      </c>
      <c r="Z31" s="20">
        <f t="shared" si="4"/>
        <v>341.86112108668675</v>
      </c>
      <c r="AA31" s="20">
        <f t="shared" si="4"/>
        <v>163.94415357766144</v>
      </c>
      <c r="AB31" s="20">
        <f t="shared" si="4"/>
        <v>0</v>
      </c>
      <c r="AC31" s="20">
        <f t="shared" si="4"/>
        <v>0</v>
      </c>
      <c r="AD31" s="20">
        <f t="shared" si="4"/>
        <v>0</v>
      </c>
      <c r="AE31" s="20">
        <f t="shared" si="4"/>
        <v>163.92325056433407</v>
      </c>
      <c r="AF31" s="20">
        <f t="shared" si="4"/>
        <v>163.92325056433407</v>
      </c>
      <c r="AG31" s="20">
        <f t="shared" si="4"/>
        <v>693</v>
      </c>
      <c r="AH31" s="20">
        <f t="shared" si="4"/>
        <v>693</v>
      </c>
      <c r="AI31" s="20">
        <f t="shared" ref="AI31:AY31" si="5">SUM(AI32:AI35)</f>
        <v>0</v>
      </c>
      <c r="AJ31" s="20">
        <f t="shared" si="5"/>
        <v>346.5</v>
      </c>
      <c r="AK31" s="20">
        <f t="shared" si="5"/>
        <v>346.5</v>
      </c>
      <c r="AL31" s="20">
        <f t="shared" si="5"/>
        <v>0</v>
      </c>
      <c r="AM31" s="20">
        <f t="shared" si="5"/>
        <v>0</v>
      </c>
      <c r="AN31" s="20">
        <f t="shared" si="5"/>
        <v>93.343453510436433</v>
      </c>
      <c r="AO31" s="20">
        <f t="shared" si="5"/>
        <v>280.03036053130927</v>
      </c>
      <c r="AP31" s="20">
        <f t="shared" si="5"/>
        <v>0</v>
      </c>
      <c r="AQ31" s="20">
        <f t="shared" si="5"/>
        <v>327.84650112866814</v>
      </c>
      <c r="AR31" s="20">
        <f t="shared" si="5"/>
        <v>327.84650112866814</v>
      </c>
      <c r="AS31" s="20">
        <f t="shared" si="5"/>
        <v>0</v>
      </c>
      <c r="AT31" s="20">
        <f t="shared" si="5"/>
        <v>693</v>
      </c>
      <c r="AU31" s="20">
        <f t="shared" si="5"/>
        <v>177.91696750902531</v>
      </c>
      <c r="AV31" s="20">
        <f t="shared" si="5"/>
        <v>0</v>
      </c>
      <c r="AW31" s="20">
        <f t="shared" si="5"/>
        <v>0</v>
      </c>
      <c r="AX31" s="20">
        <f t="shared" si="5"/>
        <v>0</v>
      </c>
      <c r="AY31" s="20">
        <f t="shared" si="5"/>
        <v>0</v>
      </c>
    </row>
    <row r="32" spans="1:52" s="30" customFormat="1" ht="18" customHeight="1">
      <c r="B32" s="12" t="s">
        <v>93</v>
      </c>
      <c r="C32" s="16" t="str">
        <f>IF(ISNUMBER(SEARCH("s",C11)),VLOOKUP(C3,栽培スケジュール!$A:$AN,IFERROR(MATCH("経営費/月",栽培スケジュール!$1:$1,0),MATCH("経営費(減価償却費除く)",栽培スケジュール!$1:$1,0)),0),"")</f>
        <v/>
      </c>
      <c r="D32" s="16" t="str">
        <f>IF(ISNUMBER(SEARCH("s",D11)),VLOOKUP(D3,栽培スケジュール!$A:$AN,IFERROR(MATCH("経営費/月",栽培スケジュール!$1:$1,0),MATCH("経営費(減価償却費除く)",栽培スケジュール!$1:$1,0)),0),"")</f>
        <v/>
      </c>
      <c r="E32" s="16">
        <f>IF(ISNUMBER(SEARCH("s",E11)),VLOOKUP(E3,栽培スケジュール!$A:$AN,IFERROR(MATCH("経営費/月",栽培スケジュール!$1:$1,0),MATCH("経営費(減価償却費除く)",栽培スケジュール!$1:$1,0)),0),"")</f>
        <v>186.68690702087287</v>
      </c>
      <c r="F32" s="16" t="str">
        <f>IF(ISNUMBER(SEARCH("s",F11)),VLOOKUP(F3,栽培スケジュール!$A:$AN,IFERROR(MATCH("経営費/月",栽培スケジュール!$1:$1,0),MATCH("経営費(減価償却費除く)",栽培スケジュール!$1:$1,0)),0),"")</f>
        <v/>
      </c>
      <c r="G32" s="16" t="str">
        <f>IF(ISNUMBER(SEARCH("s",G11)),VLOOKUP(G3,栽培スケジュール!$A:$AN,IFERROR(MATCH("経営費/月",栽培スケジュール!$1:$1,0),MATCH("経営費(減価償却費除く)",栽培スケジュール!$1:$1,0)),0),"")</f>
        <v/>
      </c>
      <c r="H32" s="16" t="str">
        <f>IF(ISNUMBER(SEARCH("s",H11)),VLOOKUP(H3,栽培スケジュール!$A:$AN,IFERROR(MATCH("経営費/月",栽培スケジュール!$1:$1,0),MATCH("経営費(減価償却費除く)",栽培スケジュール!$1:$1,0)),0),"")</f>
        <v/>
      </c>
      <c r="I32" s="16" t="str">
        <f>IF(ISNUMBER(SEARCH("s",I11)),VLOOKUP(I3,栽培スケジュール!$A:$AN,IFERROR(MATCH("経営費/月",栽培スケジュール!$1:$1,0),MATCH("経営費(減価償却費除く)",栽培スケジュール!$1:$1,0)),0),"")</f>
        <v/>
      </c>
      <c r="J32" s="16" t="str">
        <f>IF(ISNUMBER(SEARCH("s",J11)),VLOOKUP(J3,栽培スケジュール!$A:$AN,IFERROR(MATCH("経営費/月",栽培スケジュール!$1:$1,0),MATCH("経営費(減価償却費除く)",栽培スケジュール!$1:$1,0)),0),"")</f>
        <v/>
      </c>
      <c r="K32" s="16">
        <f>IF(ISNUMBER(SEARCH("s",K11)),VLOOKUP(K3,栽培スケジュール!$A:$AN,IFERROR(MATCH("経営費/月",栽培スケジュール!$1:$1,0),MATCH("経営費(減価償却費除く)",栽培スケジュール!$1:$1,0)),0),"")</f>
        <v>177.91696750902531</v>
      </c>
      <c r="L32" s="16" t="str">
        <f>IF(ISNUMBER(SEARCH("s",L11)),VLOOKUP(L3,栽培スケジュール!$A:$AN,IFERROR(MATCH("経営費/月",栽培スケジュール!$1:$1,0),MATCH("経営費(減価償却費除く)",栽培スケジュール!$1:$1,0)),0),"")</f>
        <v/>
      </c>
      <c r="M32" s="16" t="str">
        <f>IF(ISNUMBER(SEARCH("s",M11)),VLOOKUP(M3,栽培スケジュール!$A:$AN,IFERROR(MATCH("経営費/月",栽培スケジュール!$1:$1,0),MATCH("経営費(減価償却費除く)",栽培スケジュール!$1:$1,0)),0),"")</f>
        <v/>
      </c>
      <c r="N32" s="16" t="str">
        <f>IF(ISNUMBER(SEARCH("s",N11)),VLOOKUP(N3,栽培スケジュール!$A:$AN,IFERROR(MATCH("経営費/月",栽培スケジュール!$1:$1,0),MATCH("経営費(減価償却費除く)",栽培スケジュール!$1:$1,0)),0),"")</f>
        <v/>
      </c>
      <c r="O32" s="16" t="str">
        <f>IF(ISNUMBER(SEARCH("s",O11)),VLOOKUP(O3,栽培スケジュール!$A:$AN,IFERROR(MATCH("経営費/月",栽培スケジュール!$1:$1,0),MATCH("経営費(減価償却費除く)",栽培スケジュール!$1:$1,0)),0),"")</f>
        <v/>
      </c>
      <c r="P32" s="16" t="str">
        <f>IF(ISNUMBER(SEARCH("s",P11)),VLOOKUP(P3,栽培スケジュール!$A:$AN,IFERROR(MATCH("経営費/月",栽培スケジュール!$1:$1,0),MATCH("経営費(減価償却費除く)",栽培スケジュール!$1:$1,0)),0),"")</f>
        <v/>
      </c>
      <c r="Q32" s="16" t="str">
        <f>IF(ISNUMBER(SEARCH("s",Q11)),VLOOKUP(Q3,栽培スケジュール!$A:$AN,IFERROR(MATCH("経営費/月",栽培スケジュール!$1:$1,0),MATCH("経営費(減価償却費除く)",栽培スケジュール!$1:$1,0)),0),"")</f>
        <v/>
      </c>
      <c r="R32" s="16" t="str">
        <f>IF(ISNUMBER(SEARCH("s",R11)),VLOOKUP(R3,栽培スケジュール!$A:$AN,IFERROR(MATCH("経営費/月",栽培スケジュール!$1:$1,0),MATCH("経営費(減価償却費除く)",栽培スケジュール!$1:$1,0)),0),"")</f>
        <v/>
      </c>
      <c r="S32" s="16">
        <f>IF(ISNUMBER(SEARCH("s",S11)),VLOOKUP(S3,栽培スケジュール!$A:$AN,IFERROR(MATCH("経営費/月",栽培スケジュール!$1:$1,0),MATCH("経営費(減価償却費除く)",栽培スケジュール!$1:$1,0)),0),"")</f>
        <v>693</v>
      </c>
      <c r="T32" s="16" t="str">
        <f>IF(ISNUMBER(SEARCH("s",T11)),VLOOKUP(T3,栽培スケジュール!$A:$AN,IFERROR(MATCH("経営費/月",栽培スケジュール!$1:$1,0),MATCH("経営費(減価償却費除く)",栽培スケジュール!$1:$1,0)),0),"")</f>
        <v/>
      </c>
      <c r="U32" s="16" t="str">
        <f>IF(ISNUMBER(SEARCH("s",U11)),VLOOKUP(U3,栽培スケジュール!$A:$AN,IFERROR(MATCH("経営費/月",栽培スケジュール!$1:$1,0),MATCH("経営費(減価償却費除く)",栽培スケジュール!$1:$1,0)),0),"")</f>
        <v/>
      </c>
      <c r="V32" s="16" t="str">
        <f>IF(ISNUMBER(SEARCH("s",V11)),VLOOKUP(V3,栽培スケジュール!$A:$AN,IFERROR(MATCH("経営費/月",栽培スケジュール!$1:$1,0),MATCH("経営費(減価償却費除く)",栽培スケジュール!$1:$1,0)),0),"")</f>
        <v/>
      </c>
      <c r="W32" s="16" t="str">
        <f>IF(ISNUMBER(SEARCH("s",W11)),VLOOKUP(W3,栽培スケジュール!$A:$AN,IFERROR(MATCH("経営費/月",栽培スケジュール!$1:$1,0),MATCH("経営費(減価償却費除く)",栽培スケジュール!$1:$1,0)),0),"")</f>
        <v/>
      </c>
      <c r="X32" s="16" t="str">
        <f>IF(ISNUMBER(SEARCH("s",X11)),VLOOKUP(X3,栽培スケジュール!$A:$AN,IFERROR(MATCH("経営費/月",栽培スケジュール!$1:$1,0),MATCH("経営費(減価償却費除く)",栽培スケジュール!$1:$1,0)),0),"")</f>
        <v/>
      </c>
      <c r="Y32" s="16">
        <f>IF(ISNUMBER(SEARCH("s",Y11)),VLOOKUP(Y3,栽培スケジュール!$A:$AN,IFERROR(MATCH("経営費/月",栽培スケジュール!$1:$1,0),MATCH("経営費(減価償却費除く)",栽培スケジュール!$1:$1,0)),0),"")</f>
        <v>556.62684000000002</v>
      </c>
      <c r="Z32" s="16" t="str">
        <f>IF(ISNUMBER(SEARCH("s",Z11)),VLOOKUP(Z3,栽培スケジュール!$A:$AN,IFERROR(MATCH("経営費/月",栽培スケジュール!$1:$1,0),MATCH("経営費(減価償却費除く)",栽培スケジュール!$1:$1,0)),0),"")</f>
        <v/>
      </c>
      <c r="AA32" s="16" t="str">
        <f>IF(ISNUMBER(SEARCH("s",AA11)),VLOOKUP(AA3,栽培スケジュール!$A:$AN,IFERROR(MATCH("経営費/月",栽培スケジュール!$1:$1,0),MATCH("経営費(減価償却費除く)",栽培スケジュール!$1:$1,0)),0),"")</f>
        <v/>
      </c>
      <c r="AB32" s="16" t="str">
        <f>IF(ISNUMBER(SEARCH("s",AB11)),VLOOKUP(AB3,栽培スケジュール!$A:$AN,IFERROR(MATCH("経営費/月",栽培スケジュール!$1:$1,0),MATCH("経営費(減価償却費除く)",栽培スケジュール!$1:$1,0)),0),"")</f>
        <v/>
      </c>
      <c r="AC32" s="16" t="str">
        <f>IF(ISNUMBER(SEARCH("s",AC11)),VLOOKUP(AC3,栽培スケジュール!$A:$AN,IFERROR(MATCH("経営費/月",栽培スケジュール!$1:$1,0),MATCH("経営費(減価償却費除く)",栽培スケジュール!$1:$1,0)),0),"")</f>
        <v/>
      </c>
      <c r="AD32" s="16" t="str">
        <f>IF(ISNUMBER(SEARCH("s",AD11)),VLOOKUP(AD3,栽培スケジュール!$A:$AN,IFERROR(MATCH("経営費/月",栽培スケジュール!$1:$1,0),MATCH("経営費(減価償却費除く)",栽培スケジュール!$1:$1,0)),0),"")</f>
        <v/>
      </c>
      <c r="AE32" s="16" t="str">
        <f>IF(ISNUMBER(SEARCH("s",AE11)),VLOOKUP(AE3,栽培スケジュール!$A:$AN,IFERROR(MATCH("経営費/月",栽培スケジュール!$1:$1,0),MATCH("経営費(減価償却費除く)",栽培スケジュール!$1:$1,0)),0),"")</f>
        <v/>
      </c>
      <c r="AF32" s="16" t="str">
        <f>IF(ISNUMBER(SEARCH("s",AF11)),VLOOKUP(AF3,栽培スケジュール!$A:$AN,IFERROR(MATCH("経営費/月",栽培スケジュール!$1:$1,0),MATCH("経営費(減価償却費除く)",栽培スケジュール!$1:$1,0)),0),"")</f>
        <v/>
      </c>
      <c r="AG32" s="16" t="str">
        <f>IF(ISNUMBER(SEARCH("s",AG11)),VLOOKUP(AG3,栽培スケジュール!$A:$AN,IFERROR(MATCH("経営費/月",栽培スケジュール!$1:$1,0),MATCH("経営費(減価償却費除く)",栽培スケジュール!$1:$1,0)),0),"")</f>
        <v/>
      </c>
      <c r="AH32" s="16">
        <f>IF(ISNUMBER(SEARCH("s",AH11)),VLOOKUP(AH3,栽培スケジュール!$A:$AN,IFERROR(MATCH("経営費/月",栽培スケジュール!$1:$1,0),MATCH("経営費(減価償却費除く)",栽培スケジュール!$1:$1,0)),0),"")</f>
        <v>693</v>
      </c>
      <c r="AI32" s="16" t="str">
        <f>IF(ISNUMBER(SEARCH("s",AI11)),VLOOKUP(AI3,栽培スケジュール!$A:$AN,IFERROR(MATCH("経営費/月",栽培スケジュール!$1:$1,0),MATCH("経営費(減価償却費除く)",栽培スケジュール!$1:$1,0)),0),"")</f>
        <v/>
      </c>
      <c r="AJ32" s="16" t="str">
        <f>IF(ISNUMBER(SEARCH("s",AJ11)),VLOOKUP(AJ3,栽培スケジュール!$A:$AN,IFERROR(MATCH("経営費/月",栽培スケジュール!$1:$1,0),MATCH("経営費(減価償却費除く)",栽培スケジュール!$1:$1,0)),0),"")</f>
        <v/>
      </c>
      <c r="AK32" s="16" t="str">
        <f>IF(ISNUMBER(SEARCH("s",AK11)),VLOOKUP(AK3,栽培スケジュール!$A:$AN,IFERROR(MATCH("経営費/月",栽培スケジュール!$1:$1,0),MATCH("経営費(減価償却費除く)",栽培スケジュール!$1:$1,0)),0),"")</f>
        <v/>
      </c>
      <c r="AL32" s="16" t="str">
        <f>IF(ISNUMBER(SEARCH("s",AL11)),VLOOKUP(AL3,栽培スケジュール!$A:$AN,IFERROR(MATCH("経営費/月",栽培スケジュール!$1:$1,0),MATCH("経営費(減価償却費除く)",栽培スケジュール!$1:$1,0)),0),"")</f>
        <v/>
      </c>
      <c r="AM32" s="16" t="str">
        <f>IF(ISNUMBER(SEARCH("s",AM11)),VLOOKUP(AM3,栽培スケジュール!$A:$AN,IFERROR(MATCH("経営費/月",栽培スケジュール!$1:$1,0),MATCH("経営費(減価償却費除く)",栽培スケジュール!$1:$1,0)),0),"")</f>
        <v/>
      </c>
      <c r="AN32" s="16" t="str">
        <f>IF(ISNUMBER(SEARCH("s",AN11)),VLOOKUP(AN3,栽培スケジュール!$A:$AN,IFERROR(MATCH("経営費/月",栽培スケジュール!$1:$1,0),MATCH("経営費(減価償却費除く)",栽培スケジュール!$1:$1,0)),0),"")</f>
        <v/>
      </c>
      <c r="AO32" s="16">
        <f>IF(ISNUMBER(SEARCH("s",AO11)),VLOOKUP(AO3,栽培スケジュール!$A:$AN,IFERROR(MATCH("経営費/月",栽培スケジュール!$1:$1,0),MATCH("経営費(減価償却費除く)",栽培スケジュール!$1:$1,0)),0),"")</f>
        <v>186.68690702087287</v>
      </c>
      <c r="AP32" s="16" t="str">
        <f>IF(ISNUMBER(SEARCH("s",AP11)),VLOOKUP(AP3,栽培スケジュール!$A:$AN,IFERROR(MATCH("経営費/月",栽培スケジュール!$1:$1,0),MATCH("経営費(減価償却費除く)",栽培スケジュール!$1:$1,0)),0),"")</f>
        <v/>
      </c>
      <c r="AQ32" s="16" t="str">
        <f>IF(ISNUMBER(SEARCH("s",AQ11)),VLOOKUP(AQ3,栽培スケジュール!$A:$AN,IFERROR(MATCH("経営費/月",栽培スケジュール!$1:$1,0),MATCH("経営費(減価償却費除く)",栽培スケジュール!$1:$1,0)),0),"")</f>
        <v/>
      </c>
      <c r="AR32" s="16" t="str">
        <f>IF(ISNUMBER(SEARCH("s",AR11)),VLOOKUP(AR3,栽培スケジュール!$A:$AN,IFERROR(MATCH("経営費/月",栽培スケジュール!$1:$1,0),MATCH("経営費(減価償却費除く)",栽培スケジュール!$1:$1,0)),0),"")</f>
        <v/>
      </c>
      <c r="AS32" s="16" t="str">
        <f>IF(ISNUMBER(SEARCH("s",AS11)),VLOOKUP(AS3,栽培スケジュール!$A:$AN,IFERROR(MATCH("経営費/月",栽培スケジュール!$1:$1,0),MATCH("経営費(減価償却費除く)",栽培スケジュール!$1:$1,0)),0),"")</f>
        <v/>
      </c>
      <c r="AT32" s="16" t="str">
        <f>IF(ISNUMBER(SEARCH("s",AT11)),VLOOKUP(AT3,栽培スケジュール!$A:$AN,IFERROR(MATCH("経営費/月",栽培スケジュール!$1:$1,0),MATCH("経営費(減価償却費除く)",栽培スケジュール!$1:$1,0)),0),"")</f>
        <v/>
      </c>
      <c r="AU32" s="16">
        <f>IF(ISNUMBER(SEARCH("s",AU11)),VLOOKUP(AU3,栽培スケジュール!$A:$AN,IFERROR(MATCH("経営費/月",栽培スケジュール!$1:$1,0),MATCH("経営費(減価償却費除く)",栽培スケジュール!$1:$1,0)),0),"")</f>
        <v>177.91696750902531</v>
      </c>
      <c r="AV32" s="16" t="str">
        <f>IF(ISNUMBER(SEARCH("s",AV11)),VLOOKUP(AV3,栽培スケジュール!$A:$AN,IFERROR(MATCH("経営費/月",栽培スケジュール!$1:$1,0),MATCH("経営費(減価償却費除く)",栽培スケジュール!$1:$1,0)),0),"")</f>
        <v/>
      </c>
      <c r="AW32" s="16" t="str">
        <f>IF(ISNUMBER(SEARCH("s",AW11)),VLOOKUP(AW3,栽培スケジュール!$A:$AN,IFERROR(MATCH("経営費/月",栽培スケジュール!$1:$1,0),MATCH("経営費(減価償却費除く)",栽培スケジュール!$1:$1,0)),0),"")</f>
        <v/>
      </c>
      <c r="AX32" s="16" t="str">
        <f>IF(ISNUMBER(SEARCH("s",AX11)),VLOOKUP(AX3,栽培スケジュール!$A:$AN,IFERROR(MATCH("経営費/月",栽培スケジュール!$1:$1,0),MATCH("経営費(減価償却費除く)",栽培スケジュール!$1:$1,0)),0),"")</f>
        <v/>
      </c>
      <c r="AY32" s="16" t="str">
        <f>IF(ISNUMBER(SEARCH("s",AY11)),VLOOKUP(AY3,栽培スケジュール!$A:$AN,IFERROR(MATCH("経営費/月",栽培スケジュール!$1:$1,0),MATCH("経営費(減価償却費除く)",栽培スケジュール!$1:$1,0)),0),"")</f>
        <v/>
      </c>
    </row>
    <row r="33" spans="1:52" ht="18" customHeight="1">
      <c r="B33" s="12" t="s">
        <v>94</v>
      </c>
      <c r="C33" s="16" t="str">
        <f>IF(ISNUMBER(SEARCH("s",C12)),VLOOKUP(C4,栽培スケジュール!$A:$AN,IFERROR(MATCH("経営費/月",栽培スケジュール!$1:$1,0),MATCH("経営費(減価償却費除く)",栽培スケジュール!$1:$1,0)),0),"")</f>
        <v/>
      </c>
      <c r="D33" s="16" t="str">
        <f>IF(ISNUMBER(SEARCH("s",D12)),VLOOKUP(D4,栽培スケジュール!$A:$AN,IFERROR(MATCH("経営費/月",栽培スケジュール!$1:$1,0),MATCH("経営費(減価償却費除く)",栽培スケジュール!$1:$1,0)),0),"")</f>
        <v/>
      </c>
      <c r="E33" s="16" t="str">
        <f>IF(ISNUMBER(SEARCH("s",E12)),VLOOKUP(E4,栽培スケジュール!$A:$AN,IFERROR(MATCH("経営費/月",栽培スケジュール!$1:$1,0),MATCH("経営費(減価償却費除く)",栽培スケジュール!$1:$1,0)),0),"")</f>
        <v/>
      </c>
      <c r="F33" s="16" t="str">
        <f>IF(ISNUMBER(SEARCH("s",F12)),VLOOKUP(F4,栽培スケジュール!$A:$AN,IFERROR(MATCH("経営費/月",栽培スケジュール!$1:$1,0),MATCH("経営費(減価償却費除く)",栽培スケジュール!$1:$1,0)),0),"")</f>
        <v/>
      </c>
      <c r="G33" s="16">
        <f>IF(ISNUMBER(SEARCH("s",G12)),VLOOKUP(G4,栽培スケジュール!$A:$AN,IFERROR(MATCH("経営費/月",栽培スケジュール!$1:$1,0),MATCH("経営費(減価償却費除く)",栽培スケジュール!$1:$1,0)),0),"")</f>
        <v>693</v>
      </c>
      <c r="H33" s="16" t="str">
        <f>IF(ISNUMBER(SEARCH("s",H12)),VLOOKUP(H4,栽培スケジュール!$A:$AN,IFERROR(MATCH("経営費/月",栽培スケジュール!$1:$1,0),MATCH("経営費(減価償却費除く)",栽培スケジュール!$1:$1,0)),0),"")</f>
        <v/>
      </c>
      <c r="I33" s="16" t="str">
        <f>IF(ISNUMBER(SEARCH("s",I12)),VLOOKUP(I4,栽培スケジュール!$A:$AN,IFERROR(MATCH("経営費/月",栽培スケジュール!$1:$1,0),MATCH("経営費(減価償却費除く)",栽培スケジュール!$1:$1,0)),0),"")</f>
        <v/>
      </c>
      <c r="J33" s="16" t="str">
        <f>IF(ISNUMBER(SEARCH("s",J12)),VLOOKUP(J4,栽培スケジュール!$A:$AN,IFERROR(MATCH("経営費/月",栽培スケジュール!$1:$1,0),MATCH("経営費(減価償却費除く)",栽培スケジュール!$1:$1,0)),0),"")</f>
        <v/>
      </c>
      <c r="K33" s="16" t="str">
        <f>IF(ISNUMBER(SEARCH("s",K12)),VLOOKUP(K4,栽培スケジュール!$A:$AN,IFERROR(MATCH("経営費/月",栽培スケジュール!$1:$1,0),MATCH("経営費(減価償却費除く)",栽培スケジュール!$1:$1,0)),0),"")</f>
        <v/>
      </c>
      <c r="L33" s="16" t="str">
        <f>IF(ISNUMBER(SEARCH("s",L12)),VLOOKUP(L4,栽培スケジュール!$A:$AN,IFERROR(MATCH("経営費/月",栽培スケジュール!$1:$1,0),MATCH("経営費(減価償却費除く)",栽培スケジュール!$1:$1,0)),0),"")</f>
        <v/>
      </c>
      <c r="M33" s="16">
        <f>IF(ISNUMBER(SEARCH("s",M12)),VLOOKUP(M4,栽培スケジュール!$A:$AN,IFERROR(MATCH("経営費/月",栽培スケジュール!$1:$1,0),MATCH("経営費(減価償却費除く)",栽培スケジュール!$1:$1,0)),0),"")</f>
        <v>177.91696750902531</v>
      </c>
      <c r="N33" s="16" t="str">
        <f>IF(ISNUMBER(SEARCH("s",N12)),VLOOKUP(N4,栽培スケジュール!$A:$AN,IFERROR(MATCH("経営費/月",栽培スケジュール!$1:$1,0),MATCH("経営費(減価償却費除く)",栽培スケジュール!$1:$1,0)),0),"")</f>
        <v/>
      </c>
      <c r="O33" s="16" t="str">
        <f>IF(ISNUMBER(SEARCH("s",O12)),VLOOKUP(O4,栽培スケジュール!$A:$AN,IFERROR(MATCH("経営費/月",栽培スケジュール!$1:$1,0),MATCH("経営費(減価償却費除く)",栽培スケジュール!$1:$1,0)),0),"")</f>
        <v/>
      </c>
      <c r="P33" s="16" t="str">
        <f>IF(ISNUMBER(SEARCH("s",P12)),VLOOKUP(P4,栽培スケジュール!$A:$AN,IFERROR(MATCH("経営費/月",栽培スケジュール!$1:$1,0),MATCH("経営費(減価償却費除く)",栽培スケジュール!$1:$1,0)),0),"")</f>
        <v/>
      </c>
      <c r="Q33" s="16" t="str">
        <f>IF(ISNUMBER(SEARCH("s",Q12)),VLOOKUP(Q4,栽培スケジュール!$A:$AN,IFERROR(MATCH("経営費/月",栽培スケジュール!$1:$1,0),MATCH("経営費(減価償却費除く)",栽培スケジュール!$1:$1,0)),0),"")</f>
        <v/>
      </c>
      <c r="R33" s="16" t="str">
        <f>IF(ISNUMBER(SEARCH("s",R12)),VLOOKUP(R4,栽培スケジュール!$A:$AN,IFERROR(MATCH("経営費/月",栽培スケジュール!$1:$1,0),MATCH("経営費(減価償却費除く)",栽培スケジュール!$1:$1,0)),0),"")</f>
        <v/>
      </c>
      <c r="S33" s="16">
        <f>IF(ISNUMBER(SEARCH("s",S12)),VLOOKUP(S4,栽培スケジュール!$A:$AN,IFERROR(MATCH("経営費/月",栽培スケジュール!$1:$1,0),MATCH("経営費(減価償却費除く)",栽培スケジュール!$1:$1,0)),0),"")</f>
        <v>163.92325056433407</v>
      </c>
      <c r="T33" s="16">
        <f>IF(ISNUMBER(SEARCH("s",T12)),VLOOKUP(T4,栽培スケジュール!$A:$AN,IFERROR(MATCH("経営費/月",栽培スケジュール!$1:$1,0),MATCH("経営費(減価償却費除く)",栽培スケジュール!$1:$1,0)),0),"")</f>
        <v>163.92325056433407</v>
      </c>
      <c r="U33" s="16" t="str">
        <f>IF(ISNUMBER(SEARCH("s",U12)),VLOOKUP(U4,栽培スケジュール!$A:$AN,IFERROR(MATCH("経営費/月",栽培スケジュール!$1:$1,0),MATCH("経営費(減価償却費除く)",栽培スケジュール!$1:$1,0)),0),"")</f>
        <v/>
      </c>
      <c r="V33" s="16" t="str">
        <f>IF(ISNUMBER(SEARCH("s",V12)),VLOOKUP(V4,栽培スケジュール!$A:$AN,IFERROR(MATCH("経営費/月",栽培スケジュール!$1:$1,0),MATCH("経営費(減価償却費除く)",栽培スケジュール!$1:$1,0)),0),"")</f>
        <v/>
      </c>
      <c r="W33" s="16" t="str">
        <f>IF(ISNUMBER(SEARCH("s",W12)),VLOOKUP(W4,栽培スケジュール!$A:$AN,IFERROR(MATCH("経営費/月",栽培スケジュール!$1:$1,0),MATCH("経営費(減価償却費除く)",栽培スケジュール!$1:$1,0)),0),"")</f>
        <v/>
      </c>
      <c r="X33" s="16" t="str">
        <f>IF(ISNUMBER(SEARCH("s",X12)),VLOOKUP(X4,栽培スケジュール!$A:$AN,IFERROR(MATCH("経営費/月",栽培スケジュール!$1:$1,0),MATCH("経営費(減価償却費除く)",栽培スケジュール!$1:$1,0)),0),"")</f>
        <v/>
      </c>
      <c r="Y33" s="16" t="str">
        <f>IF(ISNUMBER(SEARCH("s",Y12)),VLOOKUP(Y4,栽培スケジュール!$A:$AN,IFERROR(MATCH("経営費/月",栽培スケジュール!$1:$1,0),MATCH("経営費(減価償却費除く)",栽培スケジュール!$1:$1,0)),0),"")</f>
        <v/>
      </c>
      <c r="Z33" s="16">
        <f>IF(ISNUMBER(SEARCH("s",Z12)),VLOOKUP(Z4,栽培スケジュール!$A:$AN,IFERROR(MATCH("経営費/月",栽培スケジュール!$1:$1,0),MATCH("経営費(減価償却費除く)",栽培スケジュール!$1:$1,0)),0),"")</f>
        <v>163.94415357766144</v>
      </c>
      <c r="AA33" s="16">
        <f>IF(ISNUMBER(SEARCH("s",AA12)),VLOOKUP(AA4,栽培スケジュール!$A:$AN,IFERROR(MATCH("経営費/月",栽培スケジュール!$1:$1,0),MATCH("経営費(減価償却費除く)",栽培スケジュール!$1:$1,0)),0),"")</f>
        <v>163.94415357766144</v>
      </c>
      <c r="AB33" s="16" t="str">
        <f>IF(ISNUMBER(SEARCH("s",AB12)),VLOOKUP(AB4,栽培スケジュール!$A:$AN,IFERROR(MATCH("経営費/月",栽培スケジュール!$1:$1,0),MATCH("経営費(減価償却費除く)",栽培スケジュール!$1:$1,0)),0),"")</f>
        <v/>
      </c>
      <c r="AC33" s="16" t="str">
        <f>IF(ISNUMBER(SEARCH("s",AC12)),VLOOKUP(AC4,栽培スケジュール!$A:$AN,IFERROR(MATCH("経営費/月",栽培スケジュール!$1:$1,0),MATCH("経営費(減価償却費除く)",栽培スケジュール!$1:$1,0)),0),"")</f>
        <v/>
      </c>
      <c r="AD33" s="16" t="str">
        <f>IF(ISNUMBER(SEARCH("s",AD12)),VLOOKUP(AD4,栽培スケジュール!$A:$AN,IFERROR(MATCH("経営費/月",栽培スケジュール!$1:$1,0),MATCH("経営費(減価償却費除く)",栽培スケジュール!$1:$1,0)),0),"")</f>
        <v/>
      </c>
      <c r="AE33" s="16" t="str">
        <f>IF(ISNUMBER(SEARCH("s",AE12)),VLOOKUP(AE4,栽培スケジュール!$A:$AN,IFERROR(MATCH("経営費/月",栽培スケジュール!$1:$1,0),MATCH("経営費(減価償却費除く)",栽培スケジュール!$1:$1,0)),0),"")</f>
        <v/>
      </c>
      <c r="AF33" s="16" t="str">
        <f>IF(ISNUMBER(SEARCH("s",AF12)),VLOOKUP(AF4,栽培スケジュール!$A:$AN,IFERROR(MATCH("経営費/月",栽培スケジュール!$1:$1,0),MATCH("経営費(減価償却費除く)",栽培スケジュール!$1:$1,0)),0),"")</f>
        <v/>
      </c>
      <c r="AG33" s="16" t="str">
        <f>IF(ISNUMBER(SEARCH("s",AG12)),VLOOKUP(AG4,栽培スケジュール!$A:$AN,IFERROR(MATCH("経営費/月",栽培スケジュール!$1:$1,0),MATCH("経営費(減価償却費除く)",栽培スケジュール!$1:$1,0)),0),"")</f>
        <v/>
      </c>
      <c r="AH33" s="16" t="str">
        <f>IF(ISNUMBER(SEARCH("s",AH12)),VLOOKUP(AH4,栽培スケジュール!$A:$AN,IFERROR(MATCH("経営費/月",栽培スケジュール!$1:$1,0),MATCH("経営費(減価償却費除く)",栽培スケジュール!$1:$1,0)),0),"")</f>
        <v/>
      </c>
      <c r="AI33" s="16" t="str">
        <f>IF(ISNUMBER(SEARCH("s",AI12)),VLOOKUP(AI4,栽培スケジュール!$A:$AN,IFERROR(MATCH("経営費/月",栽培スケジュール!$1:$1,0),MATCH("経営費(減価償却費除く)",栽培スケジュール!$1:$1,0)),0),"")</f>
        <v/>
      </c>
      <c r="AJ33" s="16">
        <f>IF(ISNUMBER(SEARCH("s",AJ12)),VLOOKUP(AJ4,栽培スケジュール!$A:$AN,IFERROR(MATCH("経営費/月",栽培スケジュール!$1:$1,0),MATCH("経営費(減価償却費除く)",栽培スケジュール!$1:$1,0)),0),"")</f>
        <v>346.5</v>
      </c>
      <c r="AK33" s="16">
        <f>IF(ISNUMBER(SEARCH("s",AK12)),VLOOKUP(AK4,栽培スケジュール!$A:$AN,IFERROR(MATCH("経営費/月",栽培スケジュール!$1:$1,0),MATCH("経営費(減価償却費除く)",栽培スケジュール!$1:$1,0)),0),"")</f>
        <v>346.5</v>
      </c>
      <c r="AL33" s="16" t="str">
        <f>IF(ISNUMBER(SEARCH("s",AL12)),VLOOKUP(AL4,栽培スケジュール!$A:$AN,IFERROR(MATCH("経営費/月",栽培スケジュール!$1:$1,0),MATCH("経営費(減価償却費除く)",栽培スケジュール!$1:$1,0)),0),"")</f>
        <v/>
      </c>
      <c r="AM33" s="16" t="str">
        <f>IF(ISNUMBER(SEARCH("s",AM12)),VLOOKUP(AM4,栽培スケジュール!$A:$AN,IFERROR(MATCH("経営費/月",栽培スケジュール!$1:$1,0),MATCH("経営費(減価償却費除く)",栽培スケジュール!$1:$1,0)),0),"")</f>
        <v/>
      </c>
      <c r="AN33" s="16" t="str">
        <f>IF(ISNUMBER(SEARCH("s",AN12)),VLOOKUP(AN4,栽培スケジュール!$A:$AN,IFERROR(MATCH("経営費/月",栽培スケジュール!$1:$1,0),MATCH("経営費(減価償却費除く)",栽培スケジュール!$1:$1,0)),0),"")</f>
        <v/>
      </c>
      <c r="AO33" s="16" t="str">
        <f>IF(ISNUMBER(SEARCH("s",AO12)),VLOOKUP(AO4,栽培スケジュール!$A:$AN,IFERROR(MATCH("経営費/月",栽培スケジュール!$1:$1,0),MATCH("経営費(減価償却費除く)",栽培スケジュール!$1:$1,0)),0),"")</f>
        <v/>
      </c>
      <c r="AP33" s="16" t="str">
        <f>IF(ISNUMBER(SEARCH("s",AP12)),VLOOKUP(AP4,栽培スケジュール!$A:$AN,IFERROR(MATCH("経営費/月",栽培スケジュール!$1:$1,0),MATCH("経営費(減価償却費除く)",栽培スケジュール!$1:$1,0)),0),"")</f>
        <v/>
      </c>
      <c r="AQ33" s="16">
        <f>IF(ISNUMBER(SEARCH("s",AQ12)),VLOOKUP(AQ4,栽培スケジュール!$A:$AN,IFERROR(MATCH("経営費/月",栽培スケジュール!$1:$1,0),MATCH("経営費(減価償却費除く)",栽培スケジュール!$1:$1,0)),0),"")</f>
        <v>163.92325056433407</v>
      </c>
      <c r="AR33" s="16">
        <f>IF(ISNUMBER(SEARCH("s",AR12)),VLOOKUP(AR4,栽培スケジュール!$A:$AN,IFERROR(MATCH("経営費/月",栽培スケジュール!$1:$1,0),MATCH("経営費(減価償却費除く)",栽培スケジュール!$1:$1,0)),0),"")</f>
        <v>163.92325056433407</v>
      </c>
      <c r="AS33" s="16" t="str">
        <f>IF(ISNUMBER(SEARCH("s",AS12)),VLOOKUP(AS4,栽培スケジュール!$A:$AN,IFERROR(MATCH("経営費/月",栽培スケジュール!$1:$1,0),MATCH("経営費(減価償却費除く)",栽培スケジュール!$1:$1,0)),0),"")</f>
        <v/>
      </c>
      <c r="AT33" s="16" t="str">
        <f>IF(ISNUMBER(SEARCH("s",AT12)),VLOOKUP(AT4,栽培スケジュール!$A:$AN,IFERROR(MATCH("経営費/月",栽培スケジュール!$1:$1,0),MATCH("経営費(減価償却費除く)",栽培スケジュール!$1:$1,0)),0),"")</f>
        <v/>
      </c>
      <c r="AU33" s="16" t="str">
        <f>IF(ISNUMBER(SEARCH("s",AU12)),VLOOKUP(AU4,栽培スケジュール!$A:$AN,IFERROR(MATCH("経営費/月",栽培スケジュール!$1:$1,0),MATCH("経営費(減価償却費除く)",栽培スケジュール!$1:$1,0)),0),"")</f>
        <v/>
      </c>
      <c r="AV33" s="16" t="str">
        <f>IF(ISNUMBER(SEARCH("s",AV12)),VLOOKUP(AV4,栽培スケジュール!$A:$AN,IFERROR(MATCH("経営費/月",栽培スケジュール!$1:$1,0),MATCH("経営費(減価償却費除く)",栽培スケジュール!$1:$1,0)),0),"")</f>
        <v/>
      </c>
      <c r="AW33" s="16" t="str">
        <f>IF(ISNUMBER(SEARCH("s",AW12)),VLOOKUP(AW4,栽培スケジュール!$A:$AN,IFERROR(MATCH("経営費/月",栽培スケジュール!$1:$1,0),MATCH("経営費(減価償却費除く)",栽培スケジュール!$1:$1,0)),0),"")</f>
        <v/>
      </c>
      <c r="AX33" s="16" t="str">
        <f>IF(ISNUMBER(SEARCH("s",AX12)),VLOOKUP(AX4,栽培スケジュール!$A:$AN,IFERROR(MATCH("経営費/月",栽培スケジュール!$1:$1,0),MATCH("経営費(減価償却費除く)",栽培スケジュール!$1:$1,0)),0),"")</f>
        <v/>
      </c>
      <c r="AY33" s="16" t="str">
        <f>IF(ISNUMBER(SEARCH("s",AY12)),VLOOKUP(AY4,栽培スケジュール!$A:$AN,IFERROR(MATCH("経営費/月",栽培スケジュール!$1:$1,0),MATCH("経営費(減価償却費除く)",栽培スケジュール!$1:$1,0)),0),"")</f>
        <v/>
      </c>
    </row>
    <row r="34" spans="1:52" ht="18" customHeight="1" thickBot="1">
      <c r="B34" s="12" t="s">
        <v>95</v>
      </c>
      <c r="C34" s="16" t="str">
        <f>IF(ISNUMBER(SEARCH("s",C13)),VLOOKUP(C5,栽培スケジュール!$A:$AN,IFERROR(MATCH("経営費/月",栽培スケジュール!$1:$1,0),MATCH("経営費(減価償却費除く)",栽培スケジュール!$1:$1,0)),0),"")</f>
        <v/>
      </c>
      <c r="D34" s="16" t="str">
        <f>IF(ISNUMBER(SEARCH("s",D13)),VLOOKUP(D5,栽培スケジュール!$A:$AN,IFERROR(MATCH("経営費/月",栽培スケジュール!$1:$1,0),MATCH("経営費(減価償却費除く)",栽培スケジュール!$1:$1,0)),0),"")</f>
        <v/>
      </c>
      <c r="E34" s="16" t="str">
        <f>IF(ISNUMBER(SEARCH("s",E13)),VLOOKUP(E5,栽培スケジュール!$A:$AN,IFERROR(MATCH("経営費/月",栽培スケジュール!$1:$1,0),MATCH("経営費(減価償却費除く)",栽培スケジュール!$1:$1,0)),0),"")</f>
        <v/>
      </c>
      <c r="F34" s="16" t="str">
        <f>IF(ISNUMBER(SEARCH("s",F13)),VLOOKUP(F5,栽培スケジュール!$A:$AN,IFERROR(MATCH("経営費/月",栽培スケジュール!$1:$1,0),MATCH("経営費(減価償却費除く)",栽培スケジュール!$1:$1,0)),0),"")</f>
        <v/>
      </c>
      <c r="G34" s="16" t="str">
        <f>IF(ISNUMBER(SEARCH("s",G13)),VLOOKUP(G5,栽培スケジュール!$A:$AN,IFERROR(MATCH("経営費/月",栽培スケジュール!$1:$1,0),MATCH("経営費(減価償却費除く)",栽培スケジュール!$1:$1,0)),0),"")</f>
        <v/>
      </c>
      <c r="H34" s="16" t="str">
        <f>IF(ISNUMBER(SEARCH("s",H13)),VLOOKUP(H5,栽培スケジュール!$A:$AN,IFERROR(MATCH("経営費/月",栽培スケジュール!$1:$1,0),MATCH("経営費(減価償却費除く)",栽培スケジュール!$1:$1,0)),0),"")</f>
        <v/>
      </c>
      <c r="I34" s="16">
        <f>IF(ISNUMBER(SEARCH("s",I13)),VLOOKUP(I5,栽培スケジュール!$A:$AN,IFERROR(MATCH("経営費/月",栽培スケジュール!$1:$1,0),MATCH("経営費(減価償却費除く)",栽培スケジュール!$1:$1,0)),0),"")</f>
        <v>693</v>
      </c>
      <c r="J34" s="16" t="str">
        <f>IF(ISNUMBER(SEARCH("s",J13)),VLOOKUP(J5,栽培スケジュール!$A:$AN,IFERROR(MATCH("経営費/月",栽培スケジュール!$1:$1,0),MATCH("経営費(減価償却費除く)",栽培スケジュール!$1:$1,0)),0),"")</f>
        <v/>
      </c>
      <c r="K34" s="16" t="str">
        <f>IF(ISNUMBER(SEARCH("s",K13)),VLOOKUP(K5,栽培スケジュール!$A:$AN,IFERROR(MATCH("経営費/月",栽培スケジュール!$1:$1,0),MATCH("経営費(減価償却費除く)",栽培スケジュール!$1:$1,0)),0),"")</f>
        <v/>
      </c>
      <c r="L34" s="16" t="str">
        <f>IF(ISNUMBER(SEARCH("s",L13)),VLOOKUP(L5,栽培スケジュール!$A:$AN,IFERROR(MATCH("経営費/月",栽培スケジュール!$1:$1,0),MATCH("経営費(減価償却費除く)",栽培スケジュール!$1:$1,0)),0),"")</f>
        <v/>
      </c>
      <c r="M34" s="16" t="str">
        <f>IF(ISNUMBER(SEARCH("s",M13)),VLOOKUP(M5,栽培スケジュール!$A:$AN,IFERROR(MATCH("経営費/月",栽培スケジュール!$1:$1,0),MATCH("経営費(減価償却費除く)",栽培スケジュール!$1:$1,0)),0),"")</f>
        <v/>
      </c>
      <c r="N34" s="16" t="str">
        <f>IF(ISNUMBER(SEARCH("s",N13)),VLOOKUP(N5,栽培スケジュール!$A:$AN,IFERROR(MATCH("経営費/月",栽培スケジュール!$1:$1,0),MATCH("経営費(減価償却費除く)",栽培スケジュール!$1:$1,0)),0),"")</f>
        <v/>
      </c>
      <c r="O34" s="16" t="str">
        <f>IF(ISNUMBER(SEARCH("s",O13)),VLOOKUP(O5,栽培スケジュール!$A:$AN,IFERROR(MATCH("経営費/月",栽培スケジュール!$1:$1,0),MATCH("経営費(減価償却費除く)",栽培スケジュール!$1:$1,0)),0),"")</f>
        <v/>
      </c>
      <c r="P34" s="16" t="str">
        <f>IF(ISNUMBER(SEARCH("s",P13)),VLOOKUP(P5,栽培スケジュール!$A:$AN,IFERROR(MATCH("経営費/月",栽培スケジュール!$1:$1,0),MATCH("経営費(減価償却費除く)",栽培スケジュール!$1:$1,0)),0),"")</f>
        <v/>
      </c>
      <c r="Q34" s="16">
        <f>IF(ISNUMBER(SEARCH("s",Q13)),VLOOKUP(Q5,栽培スケジュール!$A:$AN,IFERROR(MATCH("経営費/月",栽培スケジュール!$1:$1,0),MATCH("経営費(減価償却費除く)",栽培スケジュール!$1:$1,0)),0),"")</f>
        <v>186.68690702087287</v>
      </c>
      <c r="R34" s="16" t="str">
        <f>IF(ISNUMBER(SEARCH("s",R13)),VLOOKUP(R5,栽培スケジュール!$A:$AN,IFERROR(MATCH("経営費/月",栽培スケジュール!$1:$1,0),MATCH("経営費(減価償却費除く)",栽培スケジュール!$1:$1,0)),0),"")</f>
        <v/>
      </c>
      <c r="S34" s="16" t="str">
        <f>IF(ISNUMBER(SEARCH("s",S13)),VLOOKUP(S5,栽培スケジュール!$A:$AN,IFERROR(MATCH("経営費/月",栽培スケジュール!$1:$1,0),MATCH("経営費(減価償却費除く)",栽培スケジュール!$1:$1,0)),0),"")</f>
        <v/>
      </c>
      <c r="T34" s="16" t="str">
        <f>IF(ISNUMBER(SEARCH("s",T13)),VLOOKUP(T5,栽培スケジュール!$A:$AN,IFERROR(MATCH("経営費/月",栽培スケジュール!$1:$1,0),MATCH("経営費(減価償却費除く)",栽培スケジュール!$1:$1,0)),0),"")</f>
        <v/>
      </c>
      <c r="U34" s="16" t="str">
        <f>IF(ISNUMBER(SEARCH("s",U13)),VLOOKUP(U5,栽培スケジュール!$A:$AN,IFERROR(MATCH("経営費/月",栽培スケジュール!$1:$1,0),MATCH("経営費(減価償却費除く)",栽培スケジュール!$1:$1,0)),0),"")</f>
        <v/>
      </c>
      <c r="V34" s="16" t="str">
        <f>IF(ISNUMBER(SEARCH("s",V13)),VLOOKUP(V5,栽培スケジュール!$A:$AN,IFERROR(MATCH("経営費/月",栽培スケジュール!$1:$1,0),MATCH("経営費(減価償却費除く)",栽培スケジュール!$1:$1,0)),0),"")</f>
        <v/>
      </c>
      <c r="W34" s="16">
        <f>IF(ISNUMBER(SEARCH("s",W13)),VLOOKUP(W5,栽培スケジュール!$A:$AN,IFERROR(MATCH("経営費/月",栽培スケジュール!$1:$1,0),MATCH("経営費(減価償却費除く)",栽培スケジュール!$1:$1,0)),0),"")</f>
        <v>177.91696750902531</v>
      </c>
      <c r="X34" s="16" t="str">
        <f>IF(ISNUMBER(SEARCH("s",X13)),VLOOKUP(X5,栽培スケジュール!$A:$AN,IFERROR(MATCH("経営費/月",栽培スケジュール!$1:$1,0),MATCH("経営費(減価償却費除く)",栽培スケジュール!$1:$1,0)),0),"")</f>
        <v/>
      </c>
      <c r="Y34" s="16" t="str">
        <f>IF(ISNUMBER(SEARCH("s",Y13)),VLOOKUP(Y5,栽培スケジュール!$A:$AN,IFERROR(MATCH("経営費/月",栽培スケジュール!$1:$1,0),MATCH("経営費(減価償却費除く)",栽培スケジュール!$1:$1,0)),0),"")</f>
        <v/>
      </c>
      <c r="Z34" s="16" t="str">
        <f>IF(ISNUMBER(SEARCH("s",Z13)),VLOOKUP(Z5,栽培スケジュール!$A:$AN,IFERROR(MATCH("経営費/月",栽培スケジュール!$1:$1,0),MATCH("経営費(減価償却費除く)",栽培スケジュール!$1:$1,0)),0),"")</f>
        <v/>
      </c>
      <c r="AA34" s="16" t="str">
        <f>IF(ISNUMBER(SEARCH("s",AA13)),VLOOKUP(AA5,栽培スケジュール!$A:$AN,IFERROR(MATCH("経営費/月",栽培スケジュール!$1:$1,0),MATCH("経営費(減価償却費除く)",栽培スケジュール!$1:$1,0)),0),"")</f>
        <v/>
      </c>
      <c r="AB34" s="16" t="str">
        <f>IF(ISNUMBER(SEARCH("s",AB13)),VLOOKUP(AB5,栽培スケジュール!$A:$AN,IFERROR(MATCH("経営費/月",栽培スケジュール!$1:$1,0),MATCH("経営費(減価償却費除く)",栽培スケジュール!$1:$1,0)),0),"")</f>
        <v/>
      </c>
      <c r="AC34" s="16" t="str">
        <f>IF(ISNUMBER(SEARCH("s",AC13)),VLOOKUP(AC5,栽培スケジュール!$A:$AN,IFERROR(MATCH("経営費/月",栽培スケジュール!$1:$1,0),MATCH("経営費(減価償却費除く)",栽培スケジュール!$1:$1,0)),0),"")</f>
        <v/>
      </c>
      <c r="AD34" s="16" t="str">
        <f>IF(ISNUMBER(SEARCH("s",AD13)),VLOOKUP(AD5,栽培スケジュール!$A:$AN,IFERROR(MATCH("経営費/月",栽培スケジュール!$1:$1,0),MATCH("経営費(減価償却費除く)",栽培スケジュール!$1:$1,0)),0),"")</f>
        <v/>
      </c>
      <c r="AE34" s="16">
        <f>IF(ISNUMBER(SEARCH("s",AE13)),VLOOKUP(AE5,栽培スケジュール!$A:$AN,IFERROR(MATCH("経営費/月",栽培スケジュール!$1:$1,0),MATCH("経営費(減価償却費除く)",栽培スケジュール!$1:$1,0)),0),"")</f>
        <v>163.92325056433407</v>
      </c>
      <c r="AF34" s="16">
        <f>IF(ISNUMBER(SEARCH("s",AF13)),VLOOKUP(AF5,栽培スケジュール!$A:$AN,IFERROR(MATCH("経営費/月",栽培スケジュール!$1:$1,0),MATCH("経営費(減価償却費除く)",栽培スケジュール!$1:$1,0)),0),"")</f>
        <v>163.92325056433407</v>
      </c>
      <c r="AG34" s="16" t="str">
        <f>IF(ISNUMBER(SEARCH("s",AG13)),VLOOKUP(AG5,栽培スケジュール!$A:$AN,IFERROR(MATCH("経営費/月",栽培スケジュール!$1:$1,0),MATCH("経営費(減価償却費除く)",栽培スケジュール!$1:$1,0)),0),"")</f>
        <v/>
      </c>
      <c r="AH34" s="16" t="str">
        <f>IF(ISNUMBER(SEARCH("s",AH13)),VLOOKUP(AH5,栽培スケジュール!$A:$AN,IFERROR(MATCH("経営費/月",栽培スケジュール!$1:$1,0),MATCH("経営費(減価償却費除く)",栽培スケジュール!$1:$1,0)),0),"")</f>
        <v/>
      </c>
      <c r="AI34" s="16" t="str">
        <f>IF(ISNUMBER(SEARCH("s",AI13)),VLOOKUP(AI5,栽培スケジュール!$A:$AN,IFERROR(MATCH("経営費/月",栽培スケジュール!$1:$1,0),MATCH("経営費(減価償却費除く)",栽培スケジュール!$1:$1,0)),0),"")</f>
        <v/>
      </c>
      <c r="AJ34" s="16" t="str">
        <f>IF(ISNUMBER(SEARCH("s",AJ13)),VLOOKUP(AJ5,栽培スケジュール!$A:$AN,IFERROR(MATCH("経営費/月",栽培スケジュール!$1:$1,0),MATCH("経営費(減価償却費除く)",栽培スケジュール!$1:$1,0)),0),"")</f>
        <v/>
      </c>
      <c r="AK34" s="16" t="str">
        <f>IF(ISNUMBER(SEARCH("s",AK13)),VLOOKUP(AK5,栽培スケジュール!$A:$AN,IFERROR(MATCH("経営費/月",栽培スケジュール!$1:$1,0),MATCH("経営費(減価償却費除く)",栽培スケジュール!$1:$1,0)),0),"")</f>
        <v/>
      </c>
      <c r="AL34" s="16" t="str">
        <f>IF(ISNUMBER(SEARCH("s",AL13)),VLOOKUP(AL5,栽培スケジュール!$A:$AN,IFERROR(MATCH("経営費/月",栽培スケジュール!$1:$1,0),MATCH("経営費(減価償却費除く)",栽培スケジュール!$1:$1,0)),0),"")</f>
        <v/>
      </c>
      <c r="AM34" s="16" t="str">
        <f>IF(ISNUMBER(SEARCH("s",AM13)),VLOOKUP(AM5,栽培スケジュール!$A:$AN,IFERROR(MATCH("経営費/月",栽培スケジュール!$1:$1,0),MATCH("経営費(減価償却費除く)",栽培スケジュール!$1:$1,0)),0),"")</f>
        <v/>
      </c>
      <c r="AN34" s="16">
        <f>IF(ISNUMBER(SEARCH("s",AN13)),VLOOKUP(AN5,栽培スケジュール!$A:$AN,IFERROR(MATCH("経営費/月",栽培スケジュール!$1:$1,0),MATCH("経営費(減価償却費除く)",栽培スケジュール!$1:$1,0)),0),"")</f>
        <v>93.343453510436433</v>
      </c>
      <c r="AO34" s="16">
        <f>IF(ISNUMBER(SEARCH("s",AO13)),VLOOKUP(AO5,栽培スケジュール!$A:$AN,IFERROR(MATCH("経営費/月",栽培スケジュール!$1:$1,0),MATCH("経営費(減価償却費除く)",栽培スケジュール!$1:$1,0)),0),"")</f>
        <v>93.343453510436433</v>
      </c>
      <c r="AP34" s="16" t="str">
        <f>IF(ISNUMBER(SEARCH("s",AP13)),VLOOKUP(AP5,栽培スケジュール!$A:$AN,IFERROR(MATCH("経営費/月",栽培スケジュール!$1:$1,0),MATCH("経営費(減価償却費除く)",栽培スケジュール!$1:$1,0)),0),"")</f>
        <v/>
      </c>
      <c r="AQ34" s="16" t="str">
        <f>IF(ISNUMBER(SEARCH("s",AQ13)),VLOOKUP(AQ5,栽培スケジュール!$A:$AN,IFERROR(MATCH("経営費/月",栽培スケジュール!$1:$1,0),MATCH("経営費(減価償却費除く)",栽培スケジュール!$1:$1,0)),0),"")</f>
        <v/>
      </c>
      <c r="AR34" s="16" t="str">
        <f>IF(ISNUMBER(SEARCH("s",AR13)),VLOOKUP(AR5,栽培スケジュール!$A:$AN,IFERROR(MATCH("経営費/月",栽培スケジュール!$1:$1,0),MATCH("経営費(減価償却費除く)",栽培スケジュール!$1:$1,0)),0),"")</f>
        <v/>
      </c>
      <c r="AS34" s="16" t="str">
        <f>IF(ISNUMBER(SEARCH("s",AS13)),VLOOKUP(AS5,栽培スケジュール!$A:$AN,IFERROR(MATCH("経営費/月",栽培スケジュール!$1:$1,0),MATCH("経営費(減価償却費除く)",栽培スケジュール!$1:$1,0)),0),"")</f>
        <v/>
      </c>
      <c r="AT34" s="16">
        <f>IF(ISNUMBER(SEARCH("s",AT13)),VLOOKUP(AT5,栽培スケジュール!$A:$AN,IFERROR(MATCH("経営費/月",栽培スケジュール!$1:$1,0),MATCH("経営費(減価償却費除く)",栽培スケジュール!$1:$1,0)),0),"")</f>
        <v>693</v>
      </c>
      <c r="AU34" s="16" t="str">
        <f>IF(ISNUMBER(SEARCH("s",AU13)),VLOOKUP(AU5,栽培スケジュール!$A:$AN,IFERROR(MATCH("経営費/月",栽培スケジュール!$1:$1,0),MATCH("経営費(減価償却費除く)",栽培スケジュール!$1:$1,0)),0),"")</f>
        <v/>
      </c>
      <c r="AV34" s="16" t="str">
        <f>IF(ISNUMBER(SEARCH("s",AV13)),VLOOKUP(AV5,栽培スケジュール!$A:$AN,IFERROR(MATCH("経営費/月",栽培スケジュール!$1:$1,0),MATCH("経営費(減価償却費除く)",栽培スケジュール!$1:$1,0)),0),"")</f>
        <v/>
      </c>
      <c r="AW34" s="16" t="str">
        <f>IF(ISNUMBER(SEARCH("s",AW13)),VLOOKUP(AW5,栽培スケジュール!$A:$AN,IFERROR(MATCH("経営費/月",栽培スケジュール!$1:$1,0),MATCH("経営費(減価償却費除く)",栽培スケジュール!$1:$1,0)),0),"")</f>
        <v/>
      </c>
      <c r="AX34" s="16" t="str">
        <f>IF(ISNUMBER(SEARCH("s",AX13)),VLOOKUP(AX5,栽培スケジュール!$A:$AN,IFERROR(MATCH("経営費/月",栽培スケジュール!$1:$1,0),MATCH("経営費(減価償却費除く)",栽培スケジュール!$1:$1,0)),0),"")</f>
        <v/>
      </c>
      <c r="AY34" s="16" t="str">
        <f>IF(ISNUMBER(SEARCH("s",AY13)),VLOOKUP(AY5,栽培スケジュール!$A:$AN,IFERROR(MATCH("経営費/月",栽培スケジュール!$1:$1,0),MATCH("経営費(減価償却費除く)",栽培スケジュール!$1:$1,0)),0),"")</f>
        <v/>
      </c>
    </row>
    <row r="35" spans="1:52" ht="18" customHeight="1">
      <c r="A35" s="31"/>
      <c r="B35" s="32" t="s">
        <v>96</v>
      </c>
      <c r="C35" s="16" t="str">
        <f>IF(ISNUMBER(SEARCH("s",C14)),VLOOKUP(C6,栽培スケジュール!$A:$AN,IFERROR(MATCH("経営費/月",栽培スケジュール!$1:$1,0),MATCH("経営費(減価償却費除く)",栽培スケジュール!$1:$1,0)),0),"")</f>
        <v/>
      </c>
      <c r="D35" s="16">
        <f>IF(ISNUMBER(SEARCH("s",D14)),VLOOKUP(D6,栽培スケジュール!$A:$AN,IFERROR(MATCH("経営費/月",栽培スケジュール!$1:$1,0),MATCH("経営費(減価償却費除く)",栽培スケジュール!$1:$1,0)),0),"")</f>
        <v>93.343453510436433</v>
      </c>
      <c r="E35" s="16">
        <f>IF(ISNUMBER(SEARCH("s",E14)),VLOOKUP(E6,栽培スケジュール!$A:$AN,IFERROR(MATCH("経営費/月",栽培スケジュール!$1:$1,0),MATCH("経営費(減価償却費除く)",栽培スケジュール!$1:$1,0)),0),"")</f>
        <v>93.343453510436433</v>
      </c>
      <c r="F35" s="16" t="str">
        <f>IF(ISNUMBER(SEARCH("s",F14)),VLOOKUP(F6,栽培スケジュール!$A:$AN,IFERROR(MATCH("経営費/月",栽培スケジュール!$1:$1,0),MATCH("経営費(減価償却費除く)",栽培スケジュール!$1:$1,0)),0),"")</f>
        <v/>
      </c>
      <c r="G35" s="16" t="str">
        <f>IF(ISNUMBER(SEARCH("s",G14)),VLOOKUP(G6,栽培スケジュール!$A:$AN,IFERROR(MATCH("経営費/月",栽培スケジュール!$1:$1,0),MATCH("経営費(減価償却費除く)",栽培スケジュール!$1:$1,0)),0),"")</f>
        <v/>
      </c>
      <c r="H35" s="16" t="str">
        <f>IF(ISNUMBER(SEARCH("s",H14)),VLOOKUP(H6,栽培スケジュール!$A:$AN,IFERROR(MATCH("経営費/月",栽培スケジュール!$1:$1,0),MATCH("経営費(減価償却費除く)",栽培スケジュール!$1:$1,0)),0),"")</f>
        <v/>
      </c>
      <c r="I35" s="16" t="str">
        <f>IF(ISNUMBER(SEARCH("s",I14)),VLOOKUP(I6,栽培スケジュール!$A:$AN,IFERROR(MATCH("経営費/月",栽培スケジュール!$1:$1,0),MATCH("経営費(減価償却費除く)",栽培スケジュール!$1:$1,0)),0),"")</f>
        <v/>
      </c>
      <c r="J35" s="16" t="str">
        <f>IF(ISNUMBER(SEARCH("s",J14)),VLOOKUP(J6,栽培スケジュール!$A:$AN,IFERROR(MATCH("経営費/月",栽培スケジュール!$1:$1,0),MATCH("経営費(減価償却費除く)",栽培スケジュール!$1:$1,0)),0),"")</f>
        <v/>
      </c>
      <c r="K35" s="16" t="str">
        <f>IF(ISNUMBER(SEARCH("s",K14)),VLOOKUP(K6,栽培スケジュール!$A:$AN,IFERROR(MATCH("経営費/月",栽培スケジュール!$1:$1,0),MATCH("経営費(減価償却費除く)",栽培スケジュール!$1:$1,0)),0),"")</f>
        <v/>
      </c>
      <c r="L35" s="16">
        <f>IF(ISNUMBER(SEARCH("s",L14)),VLOOKUP(L6,栽培スケジュール!$A:$AN,IFERROR(MATCH("経営費/月",栽培スケジュール!$1:$1,0),MATCH("経営費(減価償却費除く)",栽培スケジュール!$1:$1,0)),0),"")</f>
        <v>346.5</v>
      </c>
      <c r="M35" s="16">
        <f>IF(ISNUMBER(SEARCH("s",M14)),VLOOKUP(M6,栽培スケジュール!$A:$AN,IFERROR(MATCH("経営費/月",栽培スケジュール!$1:$1,0),MATCH("経営費(減価償却費除く)",栽培スケジュール!$1:$1,0)),0),"")</f>
        <v>346.5</v>
      </c>
      <c r="N35" s="16" t="str">
        <f>IF(ISNUMBER(SEARCH("s",N14)),VLOOKUP(N6,栽培スケジュール!$A:$AN,IFERROR(MATCH("経営費/月",栽培スケジュール!$1:$1,0),MATCH("経営費(減価償却費除く)",栽培スケジュール!$1:$1,0)),0),"")</f>
        <v/>
      </c>
      <c r="O35" s="16" t="str">
        <f>IF(ISNUMBER(SEARCH("s",O14)),VLOOKUP(O6,栽培スケジュール!$A:$AN,IFERROR(MATCH("経営費/月",栽培スケジュール!$1:$1,0),MATCH("経営費(減価償却費除く)",栽培スケジュール!$1:$1,0)),0),"")</f>
        <v/>
      </c>
      <c r="P35" s="16" t="str">
        <f>IF(ISNUMBER(SEARCH("s",P14)),VLOOKUP(P6,栽培スケジュール!$A:$AN,IFERROR(MATCH("経営費/月",栽培スケジュール!$1:$1,0),MATCH("経営費(減価償却費除く)",栽培スケジュール!$1:$1,0)),0),"")</f>
        <v/>
      </c>
      <c r="Q35" s="16" t="str">
        <f>IF(ISNUMBER(SEARCH("s",Q14)),VLOOKUP(Q6,栽培スケジュール!$A:$AN,IFERROR(MATCH("経営費/月",栽培スケジュール!$1:$1,0),MATCH("経営費(減価償却費除く)",栽培スケジュール!$1:$1,0)),0),"")</f>
        <v/>
      </c>
      <c r="R35" s="16" t="str">
        <f>IF(ISNUMBER(SEARCH("s",R14)),VLOOKUP(R6,栽培スケジュール!$A:$AN,IFERROR(MATCH("経営費/月",栽培スケジュール!$1:$1,0),MATCH("経営費(減価償却費除く)",栽培スケジュール!$1:$1,0)),0),"")</f>
        <v/>
      </c>
      <c r="S35" s="16">
        <f>IF(ISNUMBER(SEARCH("s",S14)),VLOOKUP(S6,栽培スケジュール!$A:$AN,IFERROR(MATCH("経営費/月",栽培スケジュール!$1:$1,0),MATCH("経営費(減価償却費除く)",栽培スケジュール!$1:$1,0)),0),"")</f>
        <v>163.92325056433407</v>
      </c>
      <c r="T35" s="16">
        <f>IF(ISNUMBER(SEARCH("s",T14)),VLOOKUP(T6,栽培スケジュール!$A:$AN,IFERROR(MATCH("経営費/月",栽培スケジュール!$1:$1,0),MATCH("経営費(減価償却費除く)",栽培スケジュール!$1:$1,0)),0),"")</f>
        <v>163.92325056433407</v>
      </c>
      <c r="U35" s="16" t="str">
        <f>IF(ISNUMBER(SEARCH("s",U14)),VLOOKUP(U6,栽培スケジュール!$A:$AN,IFERROR(MATCH("経営費/月",栽培スケジュール!$1:$1,0),MATCH("経営費(減価償却費除く)",栽培スケジュール!$1:$1,0)),0),"")</f>
        <v/>
      </c>
      <c r="V35" s="16" t="str">
        <f>IF(ISNUMBER(SEARCH("s",V14)),VLOOKUP(V6,栽培スケジュール!$A:$AN,IFERROR(MATCH("経営費/月",栽培スケジュール!$1:$1,0),MATCH("経営費(減価償却費除く)",栽培スケジュール!$1:$1,0)),0),"")</f>
        <v/>
      </c>
      <c r="W35" s="16" t="str">
        <f>IF(ISNUMBER(SEARCH("s",W14)),VLOOKUP(W6,栽培スケジュール!$A:$AN,IFERROR(MATCH("経営費/月",栽培スケジュール!$1:$1,0),MATCH("経営費(減価償却費除く)",栽培スケジュール!$1:$1,0)),0),"")</f>
        <v/>
      </c>
      <c r="X35" s="16" t="str">
        <f>IF(ISNUMBER(SEARCH("s",X14)),VLOOKUP(X6,栽培スケジュール!$A:$AN,IFERROR(MATCH("経営費/月",栽培スケジュール!$1:$1,0),MATCH("経営費(減価償却費除く)",栽培スケジュール!$1:$1,0)),0),"")</f>
        <v/>
      </c>
      <c r="Y35" s="16" t="str">
        <f>IF(ISNUMBER(SEARCH("s",Y14)),VLOOKUP(Y6,栽培スケジュール!$A:$AN,IFERROR(MATCH("経営費/月",栽培スケジュール!$1:$1,0),MATCH("経営費(減価償却費除く)",栽培スケジュール!$1:$1,0)),0),"")</f>
        <v/>
      </c>
      <c r="Z35" s="16">
        <f>IF(ISNUMBER(SEARCH("s",Z14)),VLOOKUP(Z6,栽培スケジュール!$A:$AN,IFERROR(MATCH("経営費/月",栽培スケジュール!$1:$1,0),MATCH("経営費(減価償却費除く)",栽培スケジュール!$1:$1,0)),0),"")</f>
        <v>177.91696750902531</v>
      </c>
      <c r="AA35" s="16" t="str">
        <f>IF(ISNUMBER(SEARCH("s",AA14)),VLOOKUP(AA6,栽培スケジュール!$A:$AN,IFERROR(MATCH("経営費/月",栽培スケジュール!$1:$1,0),MATCH("経営費(減価償却費除く)",栽培スケジュール!$1:$1,0)),0),"")</f>
        <v/>
      </c>
      <c r="AB35" s="16" t="str">
        <f>IF(ISNUMBER(SEARCH("s",AB14)),VLOOKUP(AB6,栽培スケジュール!$A:$AN,IFERROR(MATCH("経営費/月",栽培スケジュール!$1:$1,0),MATCH("経営費(減価償却費除く)",栽培スケジュール!$1:$1,0)),0),"")</f>
        <v/>
      </c>
      <c r="AC35" s="16" t="str">
        <f>IF(ISNUMBER(SEARCH("s",AC14)),VLOOKUP(AC6,栽培スケジュール!$A:$AN,IFERROR(MATCH("経営費/月",栽培スケジュール!$1:$1,0),MATCH("経営費(減価償却費除く)",栽培スケジュール!$1:$1,0)),0),"")</f>
        <v/>
      </c>
      <c r="AD35" s="16" t="str">
        <f>IF(ISNUMBER(SEARCH("s",AD14)),VLOOKUP(AD6,栽培スケジュール!$A:$AN,IFERROR(MATCH("経営費/月",栽培スケジュール!$1:$1,0),MATCH("経営費(減価償却費除く)",栽培スケジュール!$1:$1,0)),0),"")</f>
        <v/>
      </c>
      <c r="AE35" s="16" t="str">
        <f>IF(ISNUMBER(SEARCH("s",AE14)),VLOOKUP(AE6,栽培スケジュール!$A:$AN,IFERROR(MATCH("経営費/月",栽培スケジュール!$1:$1,0),MATCH("経営費(減価償却費除く)",栽培スケジュール!$1:$1,0)),0),"")</f>
        <v/>
      </c>
      <c r="AF35" s="16" t="str">
        <f>IF(ISNUMBER(SEARCH("s",AF14)),VLOOKUP(AF6,栽培スケジュール!$A:$AN,IFERROR(MATCH("経営費/月",栽培スケジュール!$1:$1,0),MATCH("経営費(減価償却費除く)",栽培スケジュール!$1:$1,0)),0),"")</f>
        <v/>
      </c>
      <c r="AG35" s="16">
        <f>IF(ISNUMBER(SEARCH("s",AG14)),VLOOKUP(AG6,栽培スケジュール!$A:$AN,IFERROR(MATCH("経営費/月",栽培スケジュール!$1:$1,0),MATCH("経営費(減価償却費除く)",栽培スケジュール!$1:$1,0)),0),"")</f>
        <v>693</v>
      </c>
      <c r="AH35" s="16" t="str">
        <f>IF(ISNUMBER(SEARCH("s",AH14)),VLOOKUP(AH6,栽培スケジュール!$A:$AN,IFERROR(MATCH("経営費/月",栽培スケジュール!$1:$1,0),MATCH("経営費(減価償却費除く)",栽培スケジュール!$1:$1,0)),0),"")</f>
        <v/>
      </c>
      <c r="AI35" s="16" t="str">
        <f>IF(ISNUMBER(SEARCH("s",AI14)),VLOOKUP(AI6,栽培スケジュール!$A:$AN,IFERROR(MATCH("経営費/月",栽培スケジュール!$1:$1,0),MATCH("経営費(減価償却費除く)",栽培スケジュール!$1:$1,0)),0),"")</f>
        <v/>
      </c>
      <c r="AJ35" s="16" t="str">
        <f>IF(ISNUMBER(SEARCH("s",AJ14)),VLOOKUP(AJ6,栽培スケジュール!$A:$AN,IFERROR(MATCH("経営費/月",栽培スケジュール!$1:$1,0),MATCH("経営費(減価償却費除く)",栽培スケジュール!$1:$1,0)),0),"")</f>
        <v/>
      </c>
      <c r="AK35" s="16" t="str">
        <f>IF(ISNUMBER(SEARCH("s",AK14)),VLOOKUP(AK6,栽培スケジュール!$A:$AN,IFERROR(MATCH("経営費/月",栽培スケジュール!$1:$1,0),MATCH("経営費(減価償却費除く)",栽培スケジュール!$1:$1,0)),0),"")</f>
        <v/>
      </c>
      <c r="AL35" s="16" t="str">
        <f>IF(ISNUMBER(SEARCH("s",AL14)),VLOOKUP(AL6,栽培スケジュール!$A:$AN,IFERROR(MATCH("経営費/月",栽培スケジュール!$1:$1,0),MATCH("経営費(減価償却費除く)",栽培スケジュール!$1:$1,0)),0),"")</f>
        <v/>
      </c>
      <c r="AM35" s="16" t="str">
        <f>IF(ISNUMBER(SEARCH("s",AM14)),VLOOKUP(AM6,栽培スケジュール!$A:$AN,IFERROR(MATCH("経営費/月",栽培スケジュール!$1:$1,0),MATCH("経営費(減価償却費除く)",栽培スケジュール!$1:$1,0)),0),"")</f>
        <v/>
      </c>
      <c r="AN35" s="16" t="str">
        <f>IF(ISNUMBER(SEARCH("s",AN14)),VLOOKUP(AN6,栽培スケジュール!$A:$AN,IFERROR(MATCH("経営費/月",栽培スケジュール!$1:$1,0),MATCH("経営費(減価償却費除く)",栽培スケジュール!$1:$1,0)),0),"")</f>
        <v/>
      </c>
      <c r="AO35" s="16" t="str">
        <f>IF(ISNUMBER(SEARCH("s",AO14)),VLOOKUP(AO6,栽培スケジュール!$A:$AN,IFERROR(MATCH("経営費/月",栽培スケジュール!$1:$1,0),MATCH("経営費(減価償却費除く)",栽培スケジュール!$1:$1,0)),0),"")</f>
        <v/>
      </c>
      <c r="AP35" s="16" t="str">
        <f>IF(ISNUMBER(SEARCH("s",AP14)),VLOOKUP(AP6,栽培スケジュール!$A:$AN,IFERROR(MATCH("経営費/月",栽培スケジュール!$1:$1,0),MATCH("経営費(減価償却費除く)",栽培スケジュール!$1:$1,0)),0),"")</f>
        <v/>
      </c>
      <c r="AQ35" s="16">
        <f>IF(ISNUMBER(SEARCH("s",AQ14)),VLOOKUP(AQ6,栽培スケジュール!$A:$AN,IFERROR(MATCH("経営費/月",栽培スケジュール!$1:$1,0),MATCH("経営費(減価償却費除く)",栽培スケジュール!$1:$1,0)),0),"")</f>
        <v>163.92325056433407</v>
      </c>
      <c r="AR35" s="16">
        <f>IF(ISNUMBER(SEARCH("s",AR14)),VLOOKUP(AR6,栽培スケジュール!$A:$AN,IFERROR(MATCH("経営費/月",栽培スケジュール!$1:$1,0),MATCH("経営費(減価償却費除く)",栽培スケジュール!$1:$1,0)),0),"")</f>
        <v>163.92325056433407</v>
      </c>
      <c r="AS35" s="16" t="str">
        <f>IF(ISNUMBER(SEARCH("s",AS14)),VLOOKUP(AS6,栽培スケジュール!$A:$AN,IFERROR(MATCH("経営費/月",栽培スケジュール!$1:$1,0),MATCH("経営費(減価償却費除く)",栽培スケジュール!$1:$1,0)),0),"")</f>
        <v/>
      </c>
      <c r="AT35" s="16" t="str">
        <f>IF(ISNUMBER(SEARCH("s",AT14)),VLOOKUP(AT6,栽培スケジュール!$A:$AN,IFERROR(MATCH("経営費/月",栽培スケジュール!$1:$1,0),MATCH("経営費(減価償却費除く)",栽培スケジュール!$1:$1,0)),0),"")</f>
        <v/>
      </c>
      <c r="AU35" s="16" t="str">
        <f>IF(ISNUMBER(SEARCH("s",AU14)),VLOOKUP(AU6,栽培スケジュール!$A:$AN,IFERROR(MATCH("経営費/月",栽培スケジュール!$1:$1,0),MATCH("経営費(減価償却費除く)",栽培スケジュール!$1:$1,0)),0),"")</f>
        <v/>
      </c>
      <c r="AV35" s="16" t="str">
        <f>IF(ISNUMBER(SEARCH("s",AV14)),VLOOKUP(AV6,栽培スケジュール!$A:$AN,IFERROR(MATCH("経営費/月",栽培スケジュール!$1:$1,0),MATCH("経営費(減価償却費除く)",栽培スケジュール!$1:$1,0)),0),"")</f>
        <v/>
      </c>
      <c r="AW35" s="16" t="str">
        <f>IF(ISNUMBER(SEARCH("s",AW14)),VLOOKUP(AW6,栽培スケジュール!$A:$AN,IFERROR(MATCH("経営費/月",栽培スケジュール!$1:$1,0),MATCH("経営費(減価償却費除く)",栽培スケジュール!$1:$1,0)),0),"")</f>
        <v/>
      </c>
      <c r="AX35" s="16" t="str">
        <f>IF(ISNUMBER(SEARCH("s",AX14)),VLOOKUP(AX6,栽培スケジュール!$A:$AN,IFERROR(MATCH("経営費/月",栽培スケジュール!$1:$1,0),MATCH("経営費(減価償却費除く)",栽培スケジュール!$1:$1,0)),0),"")</f>
        <v/>
      </c>
      <c r="AY35" s="16" t="str">
        <f>IF(ISNUMBER(SEARCH("s",AY14)),VLOOKUP(AY6,栽培スケジュール!$A:$AN,IFERROR(MATCH("経営費/月",栽培スケジュール!$1:$1,0),MATCH("経営費(減価償却費除く)",栽培スケジュール!$1:$1,0)),0),"")</f>
        <v/>
      </c>
      <c r="AZ35" s="31"/>
    </row>
    <row r="36" spans="1:52" ht="18" customHeight="1">
      <c r="B36" s="17" t="s">
        <v>102</v>
      </c>
      <c r="C36" s="22">
        <f t="shared" ref="C36:AH36" si="6">C26-C31</f>
        <v>0</v>
      </c>
      <c r="D36" s="22">
        <f t="shared" si="6"/>
        <v>-93.343453510436433</v>
      </c>
      <c r="E36" s="22">
        <f t="shared" si="6"/>
        <v>-280.03036053130927</v>
      </c>
      <c r="F36" s="22">
        <f t="shared" si="6"/>
        <v>0</v>
      </c>
      <c r="G36" s="22">
        <f t="shared" si="6"/>
        <v>-298.31309297912713</v>
      </c>
      <c r="H36" s="22">
        <f t="shared" si="6"/>
        <v>394.68690702087287</v>
      </c>
      <c r="I36" s="22">
        <f t="shared" si="6"/>
        <v>-143</v>
      </c>
      <c r="J36" s="22">
        <f t="shared" si="6"/>
        <v>550</v>
      </c>
      <c r="K36" s="22">
        <f t="shared" si="6"/>
        <v>372.08303249097469</v>
      </c>
      <c r="L36" s="22">
        <f t="shared" si="6"/>
        <v>203.5</v>
      </c>
      <c r="M36" s="22">
        <f t="shared" si="6"/>
        <v>-324.95848375451266</v>
      </c>
      <c r="N36" s="22">
        <f t="shared" si="6"/>
        <v>199.45848375451266</v>
      </c>
      <c r="O36" s="22">
        <f t="shared" si="6"/>
        <v>749.4584837545126</v>
      </c>
      <c r="P36" s="22">
        <f t="shared" si="6"/>
        <v>749.4584837545126</v>
      </c>
      <c r="Q36" s="22">
        <f t="shared" si="6"/>
        <v>-186.68690702087287</v>
      </c>
      <c r="R36" s="22">
        <f t="shared" si="6"/>
        <v>0</v>
      </c>
      <c r="S36" s="22">
        <f t="shared" si="6"/>
        <v>-1020.846501128668</v>
      </c>
      <c r="T36" s="22">
        <f t="shared" si="6"/>
        <v>66.840405892204728</v>
      </c>
      <c r="U36" s="22">
        <f t="shared" si="6"/>
        <v>550</v>
      </c>
      <c r="V36" s="22">
        <f t="shared" si="6"/>
        <v>550</v>
      </c>
      <c r="W36" s="22">
        <f t="shared" si="6"/>
        <v>972.42163294244199</v>
      </c>
      <c r="X36" s="22">
        <f t="shared" si="6"/>
        <v>0</v>
      </c>
      <c r="Y36" s="22">
        <f t="shared" si="6"/>
        <v>-357.16835624548736</v>
      </c>
      <c r="Z36" s="22">
        <f t="shared" si="6"/>
        <v>-142.40263733217409</v>
      </c>
      <c r="AA36" s="22">
        <f t="shared" si="6"/>
        <v>16.778846422338574</v>
      </c>
      <c r="AB36" s="22">
        <f t="shared" si="6"/>
        <v>380.18148375451267</v>
      </c>
      <c r="AC36" s="22">
        <f t="shared" si="6"/>
        <v>380.18148375451267</v>
      </c>
      <c r="AD36" s="22">
        <f t="shared" si="6"/>
        <v>436.68576905177429</v>
      </c>
      <c r="AE36" s="22">
        <f t="shared" si="6"/>
        <v>92.039518487440233</v>
      </c>
      <c r="AF36" s="22">
        <f t="shared" si="6"/>
        <v>92.039518487440233</v>
      </c>
      <c r="AG36" s="22">
        <f t="shared" si="6"/>
        <v>-693</v>
      </c>
      <c r="AH36" s="22">
        <f t="shared" si="6"/>
        <v>-693</v>
      </c>
      <c r="AI36" s="22">
        <f t="shared" ref="AI36:AY36" si="7">AI26-AI31</f>
        <v>1125.1693002257337</v>
      </c>
      <c r="AJ36" s="22">
        <f t="shared" si="7"/>
        <v>203.5</v>
      </c>
      <c r="AK36" s="22">
        <f t="shared" si="7"/>
        <v>203.5</v>
      </c>
      <c r="AL36" s="22">
        <f t="shared" si="7"/>
        <v>550</v>
      </c>
      <c r="AM36" s="22">
        <f t="shared" si="7"/>
        <v>550</v>
      </c>
      <c r="AN36" s="22">
        <f t="shared" si="7"/>
        <v>456.65654648956354</v>
      </c>
      <c r="AO36" s="22">
        <f t="shared" si="7"/>
        <v>-280.03036053130927</v>
      </c>
      <c r="AP36" s="22">
        <f t="shared" si="7"/>
        <v>0</v>
      </c>
      <c r="AQ36" s="22">
        <f t="shared" si="7"/>
        <v>66.840405892204728</v>
      </c>
      <c r="AR36" s="22">
        <f t="shared" si="7"/>
        <v>66.840405892204728</v>
      </c>
      <c r="AS36" s="22">
        <f t="shared" si="7"/>
        <v>0</v>
      </c>
      <c r="AT36" s="22">
        <f t="shared" si="7"/>
        <v>-693</v>
      </c>
      <c r="AU36" s="22">
        <f t="shared" si="7"/>
        <v>972.42163294244199</v>
      </c>
      <c r="AV36" s="22">
        <f t="shared" si="7"/>
        <v>0</v>
      </c>
      <c r="AW36" s="22">
        <f t="shared" si="7"/>
        <v>749.4584837545126</v>
      </c>
      <c r="AX36" s="22">
        <f t="shared" si="7"/>
        <v>749.4584837545126</v>
      </c>
      <c r="AY36" s="22">
        <f t="shared" si="7"/>
        <v>0</v>
      </c>
    </row>
    <row r="37" spans="1:52" ht="18" customHeight="1"/>
    <row r="38" spans="1:52" ht="18" customHeight="1">
      <c r="A38" s="73" t="s">
        <v>103</v>
      </c>
      <c r="B38" s="29"/>
    </row>
    <row r="39" spans="1:52" ht="18" customHeight="1">
      <c r="A39" s="13" t="s">
        <v>104</v>
      </c>
      <c r="F39" s="15" t="s">
        <v>100</v>
      </c>
    </row>
    <row r="40" spans="1:52" ht="18" customHeight="1">
      <c r="B40" s="21" t="s">
        <v>105</v>
      </c>
      <c r="C40" s="8">
        <v>0</v>
      </c>
      <c r="D40" s="8">
        <v>1</v>
      </c>
      <c r="E40" s="8">
        <v>2</v>
      </c>
      <c r="F40" s="8">
        <v>3</v>
      </c>
    </row>
    <row r="41" spans="1:52" ht="18" customHeight="1">
      <c r="B41" s="17" t="s">
        <v>4</v>
      </c>
      <c r="C41" s="23">
        <f>SUM(C26:N26)</f>
        <v>3388.290781550771</v>
      </c>
      <c r="D41" s="23">
        <f>SUM(O26:Z26)</f>
        <v>4542.8594424903913</v>
      </c>
      <c r="E41" s="23">
        <f>SUM(AA26:AL26)</f>
        <v>4664.8665748900821</v>
      </c>
      <c r="F41" s="23">
        <f>SUM(AM26:AX26)</f>
        <v>4538.6293820022383</v>
      </c>
    </row>
    <row r="42" spans="1:52" ht="18" customHeight="1">
      <c r="B42" s="19" t="s">
        <v>106</v>
      </c>
      <c r="C42" s="23">
        <f>SUM(C31:N31)+VLOOKUP("annual_rent_thousand_yen",固定資産!$A:$B,2,FALSE)</f>
        <v>2874.7577490597964</v>
      </c>
      <c r="D42" s="23">
        <f>SUM(O31:Z31)+VLOOKUP("annual_rent_thousand_yen",固定資産!$A:$B,2,FALSE)</f>
        <v>2678.3348378739211</v>
      </c>
      <c r="E42" s="23">
        <f>SUM(AA31:AL31)+VLOOKUP("annual_rent_thousand_yen",固定資産!$A:$B,2,FALSE)</f>
        <v>2637.3406547063296</v>
      </c>
      <c r="F42" s="23">
        <f>SUM(AM31:AX31)+VLOOKUP("annual_rent_thousand_yen",固定資産!$A:$B,2,FALSE)</f>
        <v>1966.533783808107</v>
      </c>
      <c r="H42" s="72"/>
      <c r="J42" s="23"/>
    </row>
    <row r="43" spans="1:52" ht="18" customHeight="1">
      <c r="B43" s="19" t="s">
        <v>84</v>
      </c>
      <c r="C43" s="23">
        <f>VLOOKUP("annual_depreciation",固定資産!$A:$B,2,FALSE)</f>
        <v>1347.9087301587301</v>
      </c>
      <c r="D43" s="23">
        <f>VLOOKUP("annual_depreciation",固定資産!$A:$B,2,FALSE)</f>
        <v>1347.9087301587301</v>
      </c>
      <c r="E43" s="23">
        <f>VLOOKUP("annual_depreciation",固定資産!$A:$B,2,FALSE)</f>
        <v>1347.9087301587301</v>
      </c>
      <c r="F43" s="23">
        <f>VLOOKUP("annual_depreciation",固定資産!$A:$B,2,FALSE)</f>
        <v>1347.9087301587301</v>
      </c>
    </row>
    <row r="44" spans="1:52" ht="18" customHeight="1">
      <c r="B44" s="17" t="s">
        <v>102</v>
      </c>
      <c r="C44" s="24">
        <f>C41-C42-C43</f>
        <v>-834.3756976677555</v>
      </c>
      <c r="D44" s="24">
        <f>D41-D42-D43</f>
        <v>516.61587445774012</v>
      </c>
      <c r="E44" s="24">
        <f>E41-E42-E43</f>
        <v>679.61719002502241</v>
      </c>
      <c r="F44" s="24">
        <f>F41-F42-F43</f>
        <v>1224.1868680354014</v>
      </c>
      <c r="G44" s="15"/>
      <c r="H44" s="9" t="s">
        <v>107</v>
      </c>
      <c r="J44" s="23">
        <f>AVERAGE(D44:F44)</f>
        <v>806.80664417272135</v>
      </c>
      <c r="K44" s="9" t="s">
        <v>83</v>
      </c>
    </row>
    <row r="45" spans="1:52" ht="18" customHeight="1"/>
    <row r="46" spans="1:52" ht="18" customHeight="1">
      <c r="A46" s="13" t="s">
        <v>108</v>
      </c>
      <c r="F46" s="15" t="s">
        <v>100</v>
      </c>
    </row>
    <row r="47" spans="1:52" ht="18" customHeight="1">
      <c r="B47" s="21" t="s">
        <v>105</v>
      </c>
      <c r="C47" s="8">
        <v>0</v>
      </c>
      <c r="D47" s="8">
        <v>1</v>
      </c>
      <c r="E47" s="8">
        <v>2</v>
      </c>
      <c r="F47" s="8">
        <v>3</v>
      </c>
    </row>
    <row r="48" spans="1:52" ht="18" customHeight="1" thickBot="1">
      <c r="B48" s="17" t="s">
        <v>4</v>
      </c>
      <c r="C48" s="23">
        <f>C41*0.7</f>
        <v>2371.8035470855398</v>
      </c>
      <c r="D48" s="23">
        <f>D41*0.9</f>
        <v>4088.5734982413524</v>
      </c>
      <c r="E48" s="23">
        <f t="shared" ref="E48:F50" si="8">E41</f>
        <v>4664.8665748900821</v>
      </c>
      <c r="F48" s="23">
        <f t="shared" si="8"/>
        <v>4538.6293820022383</v>
      </c>
    </row>
    <row r="49" spans="1:15" ht="18" customHeight="1">
      <c r="B49" s="19" t="s">
        <v>101</v>
      </c>
      <c r="C49" s="23">
        <f>C42</f>
        <v>2874.7577490597964</v>
      </c>
      <c r="D49" s="23">
        <f>D42</f>
        <v>2678.3348378739211</v>
      </c>
      <c r="E49" s="23">
        <f t="shared" si="8"/>
        <v>2637.3406547063296</v>
      </c>
      <c r="F49" s="23">
        <f t="shared" si="8"/>
        <v>1966.533783808107</v>
      </c>
    </row>
    <row r="50" spans="1:15" ht="18" customHeight="1">
      <c r="B50" s="19" t="s">
        <v>84</v>
      </c>
      <c r="C50" s="23">
        <f>C43</f>
        <v>1347.9087301587301</v>
      </c>
      <c r="D50" s="23">
        <f>D43</f>
        <v>1347.9087301587301</v>
      </c>
      <c r="E50" s="23">
        <f t="shared" si="8"/>
        <v>1347.9087301587301</v>
      </c>
      <c r="F50" s="23">
        <f t="shared" si="8"/>
        <v>1347.9087301587301</v>
      </c>
    </row>
    <row r="51" spans="1:15" ht="18" customHeight="1">
      <c r="B51" s="17" t="s">
        <v>102</v>
      </c>
      <c r="C51" s="22">
        <f>C48-C49-C50</f>
        <v>-1850.8629321329868</v>
      </c>
      <c r="D51" s="24">
        <f>D48-D49-D50</f>
        <v>62.329930208701171</v>
      </c>
      <c r="E51" s="24">
        <f>E48-E49-E50</f>
        <v>679.61719002502241</v>
      </c>
      <c r="F51" s="24">
        <f>F48-F49-F50</f>
        <v>1224.1868680354014</v>
      </c>
      <c r="G51" s="15"/>
      <c r="H51" s="9" t="s">
        <v>107</v>
      </c>
      <c r="J51" s="49">
        <f>AVERAGE(D51:F51)</f>
        <v>655.37799608970829</v>
      </c>
      <c r="K51" s="9" t="s">
        <v>83</v>
      </c>
    </row>
    <row r="52" spans="1:15" ht="18" customHeight="1"/>
    <row r="53" spans="1:15" ht="18" customHeight="1">
      <c r="A53" s="13" t="s">
        <v>109</v>
      </c>
      <c r="F53" s="15" t="s">
        <v>100</v>
      </c>
    </row>
    <row r="54" spans="1:15" s="30" customFormat="1" ht="18" customHeight="1">
      <c r="B54" s="8" t="s">
        <v>105</v>
      </c>
      <c r="C54" s="27">
        <v>0</v>
      </c>
      <c r="D54" s="27">
        <v>1</v>
      </c>
      <c r="E54" s="27">
        <v>2</v>
      </c>
      <c r="F54" s="27">
        <v>3</v>
      </c>
    </row>
    <row r="55" spans="1:15" s="30" customFormat="1" ht="18" customHeight="1">
      <c r="B55" s="50" t="s">
        <v>110</v>
      </c>
      <c r="C55" s="58">
        <f>-MIN(MIN(C58:D58),MIN(C58:E58),MIN(C58:F58))+1000</f>
        <v>11175.954201974257</v>
      </c>
      <c r="D55" s="59">
        <f>C59</f>
        <v>1000</v>
      </c>
      <c r="E55" s="59">
        <f>D59</f>
        <v>2410.2386603674313</v>
      </c>
      <c r="F55" s="59">
        <f>E59</f>
        <v>4437.7645805511838</v>
      </c>
      <c r="H55" s="72" t="s">
        <v>111</v>
      </c>
      <c r="J55" s="51">
        <f>C55</f>
        <v>11175.954201974257</v>
      </c>
      <c r="K55" s="9" t="s">
        <v>83</v>
      </c>
    </row>
    <row r="56" spans="1:15" ht="18" customHeight="1">
      <c r="B56" s="17" t="s">
        <v>112</v>
      </c>
      <c r="C56" s="26">
        <f>C48</f>
        <v>2371.8035470855398</v>
      </c>
      <c r="D56" s="22">
        <f>D48</f>
        <v>4088.5734982413524</v>
      </c>
      <c r="E56" s="22">
        <f>E48</f>
        <v>4664.8665748900821</v>
      </c>
      <c r="F56" s="22">
        <f>F48</f>
        <v>4538.6293820022383</v>
      </c>
    </row>
    <row r="57" spans="1:15" ht="18" customHeight="1">
      <c r="B57" s="55" t="s">
        <v>113</v>
      </c>
      <c r="C57" s="56">
        <f>C49+VLOOKUP("asset_purchase",固定資産!$A:$B,2,FALSE)</f>
        <v>12547.757749059796</v>
      </c>
      <c r="D57" s="56">
        <f>D49</f>
        <v>2678.3348378739211</v>
      </c>
      <c r="E57" s="56">
        <f>E49</f>
        <v>2637.3406547063296</v>
      </c>
      <c r="F57" s="56">
        <f>F49</f>
        <v>1966.533783808107</v>
      </c>
      <c r="I57" s="25"/>
      <c r="O57" s="25"/>
    </row>
    <row r="58" spans="1:15" ht="18" customHeight="1">
      <c r="B58" s="52" t="s">
        <v>114</v>
      </c>
      <c r="C58" s="53">
        <f>C56-C57</f>
        <v>-10175.954201974257</v>
      </c>
      <c r="D58" s="54">
        <f>D56-D57</f>
        <v>1410.2386603674313</v>
      </c>
      <c r="E58" s="54">
        <f>E56-E57</f>
        <v>2027.5259201837525</v>
      </c>
      <c r="F58" s="54">
        <f>F56-F57</f>
        <v>2572.0955981941315</v>
      </c>
      <c r="J58" s="23"/>
    </row>
    <row r="59" spans="1:15" ht="18" customHeight="1">
      <c r="B59" s="19" t="s">
        <v>115</v>
      </c>
      <c r="C59" s="26">
        <f>C55+C58</f>
        <v>1000</v>
      </c>
      <c r="D59" s="26">
        <f>C59+D58</f>
        <v>2410.2386603674313</v>
      </c>
      <c r="E59" s="26">
        <f>D59+E58</f>
        <v>4437.7645805511838</v>
      </c>
      <c r="F59" s="26">
        <f>E59+F58</f>
        <v>7009.8601787453154</v>
      </c>
    </row>
    <row r="60" spans="1:15" ht="18" customHeight="1"/>
    <row r="61" spans="1:15" ht="18" customHeight="1">
      <c r="A61" s="73" t="s">
        <v>116</v>
      </c>
      <c r="B61" s="29"/>
    </row>
    <row r="62" spans="1:15" ht="18" customHeight="1">
      <c r="A62" s="13" t="s">
        <v>104</v>
      </c>
      <c r="F62" s="15" t="s">
        <v>100</v>
      </c>
    </row>
    <row r="63" spans="1:15" ht="18" customHeight="1">
      <c r="B63" s="21" t="s">
        <v>105</v>
      </c>
      <c r="C63" s="27">
        <v>0</v>
      </c>
      <c r="D63" s="27">
        <v>1</v>
      </c>
      <c r="E63" s="27">
        <v>2</v>
      </c>
      <c r="F63" s="27">
        <v>3</v>
      </c>
    </row>
    <row r="64" spans="1:15" ht="18" customHeight="1" thickBot="1">
      <c r="B64" s="17" t="s">
        <v>4</v>
      </c>
      <c r="C64" s="26">
        <f>SUM(C26:N26)</f>
        <v>3388.290781550771</v>
      </c>
      <c r="D64" s="26">
        <f>SUM(O26:Z26)</f>
        <v>4542.8594424903913</v>
      </c>
      <c r="E64" s="26">
        <f>SUM(AA26:AL26)</f>
        <v>4664.8665748900821</v>
      </c>
      <c r="F64" s="26">
        <f>SUM(AM26:AX26)</f>
        <v>4538.6293820022383</v>
      </c>
    </row>
    <row r="65" spans="1:11" ht="18" customHeight="1">
      <c r="B65" s="19" t="s">
        <v>106</v>
      </c>
      <c r="C65" s="26">
        <f>SUM(C31:N31)</f>
        <v>2808.2077490597962</v>
      </c>
      <c r="D65" s="26">
        <f>SUM(O31:Z31)</f>
        <v>2611.7848378739209</v>
      </c>
      <c r="E65" s="26">
        <f>SUM(AA31:AL31)</f>
        <v>2570.7906547063294</v>
      </c>
      <c r="F65" s="26">
        <f>SUM(AM31:AX31)</f>
        <v>1899.9837838081071</v>
      </c>
    </row>
    <row r="66" spans="1:11" ht="18" customHeight="1">
      <c r="B66" s="19" t="s">
        <v>84</v>
      </c>
      <c r="C66" s="26">
        <f>VLOOKUP("annual_depreciation",固定資産!$A:$B,2,FALSE)</f>
        <v>1347.9087301587301</v>
      </c>
      <c r="D66" s="26">
        <f>VLOOKUP("annual_depreciation",固定資産!$A:$B,2,FALSE)</f>
        <v>1347.9087301587301</v>
      </c>
      <c r="E66" s="26">
        <f>VLOOKUP("annual_depreciation",固定資産!$A:$B,2,FALSE)</f>
        <v>1347.9087301587301</v>
      </c>
      <c r="F66" s="26">
        <f>VLOOKUP("annual_depreciation",固定資産!$A:$B,2,FALSE)</f>
        <v>1347.9087301587301</v>
      </c>
    </row>
    <row r="67" spans="1:11" ht="18" customHeight="1">
      <c r="B67" s="17" t="s">
        <v>102</v>
      </c>
      <c r="C67" s="22">
        <f>C64-C65-C66</f>
        <v>-767.82569766775532</v>
      </c>
      <c r="D67" s="22">
        <f>D64-D65-D66</f>
        <v>583.1658744577403</v>
      </c>
      <c r="E67" s="22">
        <f>E64-E65-E66</f>
        <v>746.16719002502259</v>
      </c>
      <c r="F67" s="22">
        <f>F64-F65-F66</f>
        <v>1290.7368680354011</v>
      </c>
      <c r="G67" s="15"/>
      <c r="H67" s="9" t="s">
        <v>107</v>
      </c>
      <c r="J67" s="23">
        <f>AVERAGE(D67:F67)</f>
        <v>873.3566441727213</v>
      </c>
      <c r="K67" s="9" t="s">
        <v>83</v>
      </c>
    </row>
    <row r="68" spans="1:11" ht="18" customHeight="1">
      <c r="C68" s="10"/>
      <c r="D68" s="10"/>
      <c r="E68" s="10"/>
      <c r="F68" s="10"/>
    </row>
    <row r="69" spans="1:11" ht="18" customHeight="1">
      <c r="A69" s="13" t="s">
        <v>108</v>
      </c>
      <c r="C69" s="10"/>
      <c r="D69" s="10"/>
      <c r="E69" s="10"/>
      <c r="F69" s="28" t="s">
        <v>100</v>
      </c>
    </row>
    <row r="70" spans="1:11" ht="18" customHeight="1">
      <c r="B70" s="21" t="s">
        <v>105</v>
      </c>
      <c r="C70" s="27">
        <v>0</v>
      </c>
      <c r="D70" s="27">
        <v>1</v>
      </c>
      <c r="E70" s="27">
        <v>2</v>
      </c>
      <c r="F70" s="27">
        <v>3</v>
      </c>
    </row>
    <row r="71" spans="1:11" ht="18" customHeight="1" thickBot="1">
      <c r="B71" s="17" t="s">
        <v>4</v>
      </c>
      <c r="C71" s="23">
        <f>C64*0.7</f>
        <v>2371.8035470855398</v>
      </c>
      <c r="D71" s="23">
        <f>D64*0.9</f>
        <v>4088.5734982413524</v>
      </c>
      <c r="E71" s="23">
        <f t="shared" ref="E71:F73" si="9">E64</f>
        <v>4664.8665748900821</v>
      </c>
      <c r="F71" s="23">
        <f t="shared" si="9"/>
        <v>4538.6293820022383</v>
      </c>
    </row>
    <row r="72" spans="1:11" ht="18" customHeight="1">
      <c r="B72" s="19" t="s">
        <v>101</v>
      </c>
      <c r="C72" s="23">
        <f>C65</f>
        <v>2808.2077490597962</v>
      </c>
      <c r="D72" s="23">
        <f>D65</f>
        <v>2611.7848378739209</v>
      </c>
      <c r="E72" s="23">
        <f t="shared" si="9"/>
        <v>2570.7906547063294</v>
      </c>
      <c r="F72" s="23">
        <f t="shared" si="9"/>
        <v>1899.9837838081071</v>
      </c>
    </row>
    <row r="73" spans="1:11" ht="18" customHeight="1">
      <c r="B73" s="19" t="s">
        <v>84</v>
      </c>
      <c r="C73" s="26">
        <f>C66</f>
        <v>1347.9087301587301</v>
      </c>
      <c r="D73" s="26">
        <f>D66</f>
        <v>1347.9087301587301</v>
      </c>
      <c r="E73" s="26">
        <f t="shared" si="9"/>
        <v>1347.9087301587301</v>
      </c>
      <c r="F73" s="26">
        <f t="shared" si="9"/>
        <v>1347.9087301587301</v>
      </c>
    </row>
    <row r="74" spans="1:11" ht="18" customHeight="1">
      <c r="B74" s="17" t="s">
        <v>102</v>
      </c>
      <c r="C74" s="22">
        <f>C71-C72-C73</f>
        <v>-1784.3129321329866</v>
      </c>
      <c r="D74" s="22">
        <f>D71-D72-D73</f>
        <v>128.87993020870135</v>
      </c>
      <c r="E74" s="22">
        <f>E71-E72-E73</f>
        <v>746.16719002502259</v>
      </c>
      <c r="F74" s="22">
        <f>F71-F72-F73</f>
        <v>1290.7368680354011</v>
      </c>
      <c r="G74" s="15"/>
      <c r="H74" s="9" t="s">
        <v>107</v>
      </c>
      <c r="J74" s="23">
        <f>AVERAGE(D74:F74)</f>
        <v>721.92799608970836</v>
      </c>
      <c r="K74" s="9" t="s">
        <v>83</v>
      </c>
    </row>
    <row r="75" spans="1:11" ht="18" customHeight="1">
      <c r="C75" s="10"/>
      <c r="D75" s="10"/>
      <c r="E75" s="10"/>
      <c r="F75" s="10"/>
    </row>
    <row r="76" spans="1:11" ht="18" customHeight="1">
      <c r="A76" s="13" t="s">
        <v>109</v>
      </c>
      <c r="C76" s="10"/>
      <c r="D76" s="10"/>
      <c r="E76" s="10"/>
      <c r="F76" s="28" t="s">
        <v>100</v>
      </c>
    </row>
    <row r="77" spans="1:11" ht="18" customHeight="1">
      <c r="B77" s="8" t="s">
        <v>105</v>
      </c>
      <c r="C77" s="27">
        <v>0</v>
      </c>
      <c r="D77" s="27">
        <v>1</v>
      </c>
      <c r="E77" s="27">
        <v>2</v>
      </c>
      <c r="F77" s="27">
        <v>3</v>
      </c>
    </row>
    <row r="78" spans="1:11" ht="18" customHeight="1">
      <c r="B78" s="50" t="s">
        <v>110</v>
      </c>
      <c r="C78" s="58">
        <f>-MIN(MIN(C81:D81),MIN(C81:E81),MIN(C81:F81))+1000</f>
        <v>17017.404201974256</v>
      </c>
      <c r="D78" s="59">
        <f>C82</f>
        <v>1000</v>
      </c>
      <c r="E78" s="59">
        <f>D82</f>
        <v>2476.7886603674315</v>
      </c>
      <c r="F78" s="59">
        <f>E82</f>
        <v>4570.8645805511842</v>
      </c>
      <c r="H78" s="72" t="s">
        <v>111</v>
      </c>
      <c r="J78" s="51">
        <f>C78</f>
        <v>17017.404201974256</v>
      </c>
      <c r="K78" s="9" t="s">
        <v>83</v>
      </c>
    </row>
    <row r="79" spans="1:11" ht="18" customHeight="1">
      <c r="B79" s="17" t="s">
        <v>112</v>
      </c>
      <c r="C79" s="22">
        <f>C71</f>
        <v>2371.8035470855398</v>
      </c>
      <c r="D79" s="22">
        <f>D71</f>
        <v>4088.5734982413524</v>
      </c>
      <c r="E79" s="22">
        <f>E71</f>
        <v>4664.8665748900821</v>
      </c>
      <c r="F79" s="22">
        <f>F71</f>
        <v>4538.6293820022383</v>
      </c>
    </row>
    <row r="80" spans="1:11" ht="18" customHeight="1">
      <c r="B80" s="55" t="s">
        <v>113</v>
      </c>
      <c r="C80" s="56">
        <f>C72+VLOOKUP("asset_purchase",固定資産!$A:$B,2,FALSE)+VLOOKUP("land_purchase_thousand_yen",固定資産!$A:$B,2,FALSE)</f>
        <v>18389.207749059795</v>
      </c>
      <c r="D80" s="56">
        <f>D72</f>
        <v>2611.7848378739209</v>
      </c>
      <c r="E80" s="56">
        <f>E72</f>
        <v>2570.7906547063294</v>
      </c>
      <c r="F80" s="56">
        <f>F72</f>
        <v>1899.9837838081071</v>
      </c>
      <c r="H80" s="72"/>
      <c r="J80" s="57"/>
    </row>
    <row r="81" spans="2:6" ht="18" customHeight="1">
      <c r="B81" s="52" t="s">
        <v>114</v>
      </c>
      <c r="C81" s="53">
        <f>C79-C80</f>
        <v>-16017.404201974256</v>
      </c>
      <c r="D81" s="54">
        <f>D79-D80</f>
        <v>1476.7886603674315</v>
      </c>
      <c r="E81" s="54">
        <f>E79-E80</f>
        <v>2094.0759201837527</v>
      </c>
      <c r="F81" s="54">
        <f>F79-F80</f>
        <v>2638.6455981941313</v>
      </c>
    </row>
    <row r="82" spans="2:6" ht="18" customHeight="1">
      <c r="B82" s="19" t="s">
        <v>115</v>
      </c>
      <c r="C82" s="26">
        <f>C78+C81</f>
        <v>1000</v>
      </c>
      <c r="D82" s="26">
        <f>C82+D81</f>
        <v>2476.7886603674315</v>
      </c>
      <c r="E82" s="26">
        <f>D82+E81</f>
        <v>4570.8645805511842</v>
      </c>
      <c r="F82" s="26">
        <f>E82+F81</f>
        <v>7209.510178745315</v>
      </c>
    </row>
  </sheetData>
  <phoneticPr fontId="2"/>
  <conditionalFormatting sqref="A22:AY22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AX10">
    <cfRule type="containsText" dxfId="5" priority="1" operator="containsText" text="オクラ">
      <formula>NOT(ISERROR(SEARCH("オクラ",C7)))</formula>
    </cfRule>
    <cfRule type="containsText" dxfId="4" priority="2" operator="containsText" text="ヘチマ">
      <formula>NOT(ISERROR(SEARCH("ヘチマ",C7)))</formula>
    </cfRule>
    <cfRule type="containsText" dxfId="3" priority="3" operator="containsText" text="かぼちゃ">
      <formula>NOT(ISERROR(SEARCH("かぼちゃ",C7)))</formula>
    </cfRule>
    <cfRule type="containsText" dxfId="2" priority="4" operator="containsText" text="レタス">
      <formula>NOT(ISERROR(SEARCH("レタス",C7)))</formula>
    </cfRule>
    <cfRule type="containsText" dxfId="1" priority="5" operator="containsText" text="ダイコン">
      <formula>NOT(ISERROR(SEARCH("ダイコン",C7)))</formula>
    </cfRule>
    <cfRule type="containsText" dxfId="0" priority="6" operator="containsText" text="キャベツ">
      <formula>NOT(ISERROR(SEARCH("キャベツ",C7)))</formula>
    </cfRule>
  </conditionalFormatting>
  <pageMargins left="0.25" right="0.25" top="0.75" bottom="0.75" header="0.3" footer="0.3"/>
  <pageSetup paperSize="8" scale="57" orientation="landscape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栽培スケジュール</vt:lpstr>
      <vt:lpstr>固定資産</vt:lpstr>
      <vt:lpstr>経営計画</vt:lpstr>
      <vt:lpstr>経営計画!Print_Area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久米 ジロー</dc:creator>
  <cp:lastModifiedBy>Kenichi Yotsumoto</cp:lastModifiedBy>
  <cp:lastPrinted>2025-07-25T08:41:58Z</cp:lastPrinted>
  <dcterms:created xsi:type="dcterms:W3CDTF">2015-06-05T18:19:34Z</dcterms:created>
  <dcterms:modified xsi:type="dcterms:W3CDTF">2026-05-24T12:55:24Z</dcterms:modified>
</cp:coreProperties>
</file>